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ondraosorno/Desktop/"/>
    </mc:Choice>
  </mc:AlternateContent>
  <xr:revisionPtr revIDLastSave="0" documentId="8_{A24BA38F-CFCB-BD41-9B3B-C7ED3366F089}" xr6:coauthVersionLast="47" xr6:coauthVersionMax="47" xr10:uidLastSave="{00000000-0000-0000-0000-000000000000}"/>
  <bookViews>
    <workbookView xWindow="0" yWindow="540" windowWidth="28800" windowHeight="16100" xr2:uid="{00000000-000D-0000-FFFF-FFFF00000000}"/>
  </bookViews>
  <sheets>
    <sheet name="Diciembre 2025" sheetId="18" r:id="rId1"/>
    <sheet name="Noviembre 2025" sheetId="17" r:id="rId2"/>
    <sheet name="Octubre 2025" sheetId="14" r:id="rId3"/>
    <sheet name="Septiembre 2025" sheetId="13" r:id="rId4"/>
    <sheet name="Agosto 2025" sheetId="12" r:id="rId5"/>
    <sheet name="Junio 2025" sheetId="7" r:id="rId6"/>
    <sheet name="Ventas productos " sheetId="10" r:id="rId7"/>
    <sheet name="Gastos Fijos" sheetId="2" r:id="rId8"/>
    <sheet name="Inventario" sheetId="5" r:id="rId9"/>
    <sheet name="Publicidad y marketing" sheetId="11" r:id="rId10"/>
    <sheet name="ALOYSAID" sheetId="16" r:id="rId11"/>
  </sheets>
  <definedNames>
    <definedName name="_xlnm._FilterDatabase" localSheetId="7" hidden="1">'Gastos Fijos'!$A$6:$A$12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8" l="1"/>
  <c r="B8" i="18"/>
  <c r="B10" i="18" l="1"/>
  <c r="S24" i="18"/>
  <c r="R24" i="18" s="1"/>
  <c r="S23" i="18"/>
  <c r="R23" i="18" s="1"/>
  <c r="S22" i="18"/>
  <c r="R22" i="18" s="1"/>
  <c r="S21" i="18"/>
  <c r="R21" i="18" s="1"/>
  <c r="S20" i="18"/>
  <c r="R20" i="18" s="1"/>
  <c r="S19" i="18"/>
  <c r="R19" i="18"/>
  <c r="S18" i="18"/>
  <c r="R18" i="18" s="1"/>
  <c r="S17" i="18"/>
  <c r="R17" i="18"/>
  <c r="S16" i="18"/>
  <c r="R16" i="18" s="1"/>
  <c r="H16" i="18"/>
  <c r="G16" i="18" s="1"/>
  <c r="E12" i="18"/>
  <c r="E11" i="18"/>
  <c r="E10" i="18"/>
  <c r="E9" i="18"/>
  <c r="E8" i="18"/>
  <c r="E7" i="18"/>
  <c r="E6" i="18"/>
  <c r="E5" i="18"/>
  <c r="J8" i="2" l="1"/>
  <c r="B8" i="17"/>
  <c r="S24" i="17"/>
  <c r="R24" i="17" s="1"/>
  <c r="G17" i="17"/>
  <c r="G18" i="17"/>
  <c r="G19" i="17"/>
  <c r="G20" i="17"/>
  <c r="G21" i="17"/>
  <c r="G23" i="17"/>
  <c r="G27" i="17"/>
  <c r="G29" i="17"/>
  <c r="G47" i="17"/>
  <c r="H17" i="17"/>
  <c r="H18" i="17"/>
  <c r="H19" i="17"/>
  <c r="H20" i="17"/>
  <c r="H21" i="17"/>
  <c r="H22" i="17"/>
  <c r="G22" i="17" s="1"/>
  <c r="H23" i="17"/>
  <c r="H24" i="17"/>
  <c r="G24" i="17" s="1"/>
  <c r="H25" i="17"/>
  <c r="G25" i="17" s="1"/>
  <c r="H26" i="17"/>
  <c r="G26" i="17" s="1"/>
  <c r="H27" i="17"/>
  <c r="H28" i="17"/>
  <c r="G28" i="17" s="1"/>
  <c r="H29" i="17"/>
  <c r="H30" i="17"/>
  <c r="G30" i="17" s="1"/>
  <c r="H31" i="17"/>
  <c r="G31" i="17" s="1"/>
  <c r="H32" i="17"/>
  <c r="G32" i="17" s="1"/>
  <c r="H33" i="17"/>
  <c r="G33" i="17" s="1"/>
  <c r="H34" i="17"/>
  <c r="G34" i="17" s="1"/>
  <c r="H35" i="17"/>
  <c r="G35" i="17" s="1"/>
  <c r="H36" i="17"/>
  <c r="G36" i="17" s="1"/>
  <c r="H37" i="17"/>
  <c r="G37" i="17" s="1"/>
  <c r="H38" i="17"/>
  <c r="G38" i="17" s="1"/>
  <c r="H39" i="17"/>
  <c r="G39" i="17" s="1"/>
  <c r="H40" i="17"/>
  <c r="G40" i="17" s="1"/>
  <c r="H41" i="17"/>
  <c r="G41" i="17" s="1"/>
  <c r="H42" i="17"/>
  <c r="G42" i="17" s="1"/>
  <c r="H43" i="17"/>
  <c r="G43" i="17" s="1"/>
  <c r="H44" i="17"/>
  <c r="G44" i="17" s="1"/>
  <c r="H45" i="17"/>
  <c r="G45" i="17" s="1"/>
  <c r="H46" i="17"/>
  <c r="G46" i="17" s="1"/>
  <c r="H47" i="17"/>
  <c r="H48" i="17"/>
  <c r="G48" i="17" s="1"/>
  <c r="H49" i="17"/>
  <c r="G49" i="17" s="1"/>
  <c r="H50" i="17"/>
  <c r="G50" i="17" s="1"/>
  <c r="H51" i="17"/>
  <c r="G51" i="17" s="1"/>
  <c r="H52" i="17"/>
  <c r="G52" i="17" s="1"/>
  <c r="H53" i="17"/>
  <c r="G53" i="17" s="1"/>
  <c r="H54" i="17"/>
  <c r="G54" i="17" s="1"/>
  <c r="H55" i="17"/>
  <c r="G55" i="17" s="1"/>
  <c r="H16" i="17"/>
  <c r="S23" i="17"/>
  <c r="R23" i="17" s="1"/>
  <c r="S22" i="17"/>
  <c r="R22" i="17" s="1"/>
  <c r="S21" i="17"/>
  <c r="R21" i="17" s="1"/>
  <c r="S20" i="17"/>
  <c r="R20" i="17" s="1"/>
  <c r="S19" i="17"/>
  <c r="R19" i="17" s="1"/>
  <c r="S18" i="17"/>
  <c r="R18" i="17" s="1"/>
  <c r="S17" i="17"/>
  <c r="R17" i="17" s="1"/>
  <c r="S16" i="17"/>
  <c r="R16" i="17" s="1"/>
  <c r="G16" i="17"/>
  <c r="E12" i="17"/>
  <c r="E11" i="17"/>
  <c r="E10" i="17"/>
  <c r="E9" i="17"/>
  <c r="E8" i="17"/>
  <c r="E7" i="17"/>
  <c r="B7" i="17"/>
  <c r="E6" i="17"/>
  <c r="E5" i="17"/>
  <c r="B10" i="16"/>
  <c r="E12" i="16"/>
  <c r="E11" i="16"/>
  <c r="E10" i="16"/>
  <c r="E9" i="16"/>
  <c r="E8" i="16"/>
  <c r="B8" i="16"/>
  <c r="E7" i="16"/>
  <c r="B7" i="16"/>
  <c r="E6" i="16"/>
  <c r="E5" i="16"/>
  <c r="B8" i="14"/>
  <c r="S23" i="14"/>
  <c r="R23" i="14" s="1"/>
  <c r="H60" i="14"/>
  <c r="G60" i="14" s="1"/>
  <c r="H59" i="14"/>
  <c r="G59" i="14" s="1"/>
  <c r="H58" i="14"/>
  <c r="G58" i="14" s="1"/>
  <c r="H57" i="14"/>
  <c r="G57" i="14" s="1"/>
  <c r="H56" i="14"/>
  <c r="G56" i="14" s="1"/>
  <c r="H55" i="14"/>
  <c r="G55" i="14" s="1"/>
  <c r="B7" i="14"/>
  <c r="B10" i="17" l="1"/>
  <c r="H54" i="14" l="1"/>
  <c r="G54" i="14" s="1"/>
  <c r="H53" i="14"/>
  <c r="G53" i="14" s="1"/>
  <c r="H52" i="14"/>
  <c r="G52" i="14" s="1"/>
  <c r="W22" i="13" l="1"/>
  <c r="B8" i="13"/>
  <c r="S23" i="13"/>
  <c r="R23" i="13" s="1"/>
  <c r="H51" i="14"/>
  <c r="G51" i="14" s="1"/>
  <c r="H50" i="14"/>
  <c r="G50" i="14" s="1"/>
  <c r="H49" i="14"/>
  <c r="G49" i="14" s="1"/>
  <c r="H48" i="14"/>
  <c r="G48" i="14" s="1"/>
  <c r="H47" i="14"/>
  <c r="G47" i="14" s="1"/>
  <c r="H46" i="14"/>
  <c r="G46" i="14" s="1"/>
  <c r="H45" i="14"/>
  <c r="G45" i="14" s="1"/>
  <c r="H44" i="14"/>
  <c r="G44" i="14" s="1"/>
  <c r="H43" i="14"/>
  <c r="G43" i="14" s="1"/>
  <c r="H42" i="14"/>
  <c r="G42" i="14"/>
  <c r="H41" i="14"/>
  <c r="G41" i="14" s="1"/>
  <c r="H40" i="14"/>
  <c r="G40" i="14" s="1"/>
  <c r="H39" i="14"/>
  <c r="G39" i="14" s="1"/>
  <c r="H38" i="14"/>
  <c r="G38" i="14" s="1"/>
  <c r="H37" i="14"/>
  <c r="G37" i="14" s="1"/>
  <c r="H36" i="14"/>
  <c r="G36" i="14" s="1"/>
  <c r="H35" i="14"/>
  <c r="G35" i="14" s="1"/>
  <c r="H34" i="14"/>
  <c r="G34" i="14"/>
  <c r="H33" i="14"/>
  <c r="G33" i="14" s="1"/>
  <c r="H32" i="14"/>
  <c r="G32" i="14" s="1"/>
  <c r="H31" i="14"/>
  <c r="G31" i="14" s="1"/>
  <c r="H30" i="14"/>
  <c r="G30" i="14" s="1"/>
  <c r="H29" i="14"/>
  <c r="G29" i="14" s="1"/>
  <c r="H28" i="14"/>
  <c r="G28" i="14" s="1"/>
  <c r="H27" i="14"/>
  <c r="G27" i="14" s="1"/>
  <c r="H26" i="14"/>
  <c r="G26" i="14" s="1"/>
  <c r="H25" i="14"/>
  <c r="G25" i="14" s="1"/>
  <c r="H24" i="14"/>
  <c r="G24" i="14" s="1"/>
  <c r="H23" i="14"/>
  <c r="G23" i="14" s="1"/>
  <c r="S22" i="14"/>
  <c r="R22" i="14"/>
  <c r="H22" i="14"/>
  <c r="G22" i="14" s="1"/>
  <c r="S21" i="14"/>
  <c r="R21" i="14" s="1"/>
  <c r="H21" i="14"/>
  <c r="G21" i="14" s="1"/>
  <c r="S20" i="14"/>
  <c r="R20" i="14" s="1"/>
  <c r="H20" i="14"/>
  <c r="G20" i="14" s="1"/>
  <c r="S19" i="14"/>
  <c r="R19" i="14" s="1"/>
  <c r="H19" i="14"/>
  <c r="G19" i="14" s="1"/>
  <c r="S18" i="14"/>
  <c r="R18" i="14" s="1"/>
  <c r="H18" i="14"/>
  <c r="G18" i="14" s="1"/>
  <c r="S17" i="14"/>
  <c r="R17" i="14" s="1"/>
  <c r="H17" i="14"/>
  <c r="G17" i="14" s="1"/>
  <c r="S16" i="14"/>
  <c r="R16" i="14"/>
  <c r="H16" i="14"/>
  <c r="G16" i="14" s="1"/>
  <c r="E12" i="14"/>
  <c r="E11" i="14"/>
  <c r="E10" i="14"/>
  <c r="E9" i="14"/>
  <c r="E8" i="14"/>
  <c r="B10" i="14"/>
  <c r="E7" i="14"/>
  <c r="E6" i="14"/>
  <c r="E5" i="14"/>
  <c r="H71" i="13"/>
  <c r="G71" i="13" s="1"/>
  <c r="H70" i="13"/>
  <c r="G70" i="13" s="1"/>
  <c r="H69" i="13"/>
  <c r="G69" i="13" s="1"/>
  <c r="H68" i="13"/>
  <c r="G68" i="13" s="1"/>
  <c r="H67" i="13"/>
  <c r="G67" i="13" s="1"/>
  <c r="H66" i="13"/>
  <c r="G66" i="13" s="1"/>
  <c r="H65" i="13"/>
  <c r="G65" i="13" s="1"/>
  <c r="H62" i="13"/>
  <c r="G62" i="13" s="1"/>
  <c r="H63" i="13"/>
  <c r="G63" i="13" s="1"/>
  <c r="H61" i="13"/>
  <c r="G61" i="13" s="1"/>
  <c r="H59" i="13"/>
  <c r="G59" i="13"/>
  <c r="B7" i="13"/>
  <c r="H64" i="13"/>
  <c r="G64" i="13" s="1"/>
  <c r="H60" i="13"/>
  <c r="G60" i="13" s="1"/>
  <c r="H58" i="13"/>
  <c r="G58" i="13" s="1"/>
  <c r="H57" i="13"/>
  <c r="G57" i="13" s="1"/>
  <c r="H56" i="13"/>
  <c r="G56" i="13" s="1"/>
  <c r="H55" i="13"/>
  <c r="G55" i="13" s="1"/>
  <c r="H54" i="13"/>
  <c r="G54" i="13" s="1"/>
  <c r="H53" i="13"/>
  <c r="G53" i="13" s="1"/>
  <c r="H52" i="13"/>
  <c r="G52" i="13" s="1"/>
  <c r="S17" i="13"/>
  <c r="R17" i="13" s="1"/>
  <c r="S18" i="13"/>
  <c r="S19" i="13"/>
  <c r="R19" i="13" s="1"/>
  <c r="S20" i="13"/>
  <c r="R20" i="13" s="1"/>
  <c r="S21" i="13"/>
  <c r="R21" i="13" s="1"/>
  <c r="S22" i="13"/>
  <c r="R22" i="13" s="1"/>
  <c r="S16" i="13"/>
  <c r="R18" i="13"/>
  <c r="R16" i="13"/>
  <c r="G14" i="11"/>
  <c r="B8" i="12"/>
  <c r="S25" i="12"/>
  <c r="R25" i="12" s="1"/>
  <c r="H22" i="13"/>
  <c r="G22" i="13" s="1"/>
  <c r="H23" i="13"/>
  <c r="G23" i="13" s="1"/>
  <c r="H24" i="13"/>
  <c r="G24" i="13" s="1"/>
  <c r="H25" i="13"/>
  <c r="G25" i="13" s="1"/>
  <c r="H26" i="13"/>
  <c r="G26" i="13" s="1"/>
  <c r="H27" i="13"/>
  <c r="G27" i="13" s="1"/>
  <c r="H28" i="13"/>
  <c r="G28" i="13" s="1"/>
  <c r="H29" i="13"/>
  <c r="G29" i="13" s="1"/>
  <c r="H30" i="13"/>
  <c r="G30" i="13" s="1"/>
  <c r="H31" i="13"/>
  <c r="G31" i="13" s="1"/>
  <c r="H32" i="13"/>
  <c r="G32" i="13" s="1"/>
  <c r="H33" i="13"/>
  <c r="G33" i="13" s="1"/>
  <c r="H34" i="13"/>
  <c r="G34" i="13" s="1"/>
  <c r="H35" i="13"/>
  <c r="G35" i="13" s="1"/>
  <c r="H36" i="13"/>
  <c r="G36" i="13" s="1"/>
  <c r="H37" i="13"/>
  <c r="G37" i="13" s="1"/>
  <c r="H38" i="13"/>
  <c r="G38" i="13" s="1"/>
  <c r="H39" i="13"/>
  <c r="G39" i="13" s="1"/>
  <c r="H40" i="13"/>
  <c r="G40" i="13" s="1"/>
  <c r="H41" i="13"/>
  <c r="G41" i="13" s="1"/>
  <c r="H42" i="13"/>
  <c r="G42" i="13" s="1"/>
  <c r="H43" i="13"/>
  <c r="G43" i="13" s="1"/>
  <c r="H44" i="13"/>
  <c r="G44" i="13" s="1"/>
  <c r="H45" i="13"/>
  <c r="G45" i="13" s="1"/>
  <c r="H46" i="13"/>
  <c r="G46" i="13" s="1"/>
  <c r="H47" i="13"/>
  <c r="G47" i="13" s="1"/>
  <c r="H48" i="13"/>
  <c r="G48" i="13" s="1"/>
  <c r="H49" i="13"/>
  <c r="G49" i="13" s="1"/>
  <c r="H50" i="13"/>
  <c r="H51" i="13"/>
  <c r="G51" i="13" s="1"/>
  <c r="H21" i="13"/>
  <c r="G50" i="13"/>
  <c r="G18" i="13"/>
  <c r="G20" i="13"/>
  <c r="G21" i="13"/>
  <c r="G17" i="13"/>
  <c r="H18" i="13"/>
  <c r="H19" i="13"/>
  <c r="G19" i="13" s="1"/>
  <c r="H20" i="13"/>
  <c r="H17" i="13"/>
  <c r="E12" i="13"/>
  <c r="E11" i="13"/>
  <c r="E10" i="13"/>
  <c r="E9" i="13"/>
  <c r="E8" i="13"/>
  <c r="E7" i="13"/>
  <c r="E6" i="13"/>
  <c r="E5" i="13"/>
  <c r="S24" i="12"/>
  <c r="R24" i="12"/>
  <c r="S23" i="12"/>
  <c r="R23" i="12" s="1"/>
  <c r="H73" i="12"/>
  <c r="G73" i="12" s="1"/>
  <c r="H72" i="12"/>
  <c r="G72" i="12" s="1"/>
  <c r="H71" i="12"/>
  <c r="G71" i="12" s="1"/>
  <c r="H70" i="12"/>
  <c r="G70" i="12" s="1"/>
  <c r="H69" i="12"/>
  <c r="G69" i="12" s="1"/>
  <c r="H68" i="12"/>
  <c r="G68" i="12" s="1"/>
  <c r="H67" i="12"/>
  <c r="G67" i="12" s="1"/>
  <c r="H66" i="12"/>
  <c r="G66" i="12" s="1"/>
  <c r="H65" i="12"/>
  <c r="G65" i="12" s="1"/>
  <c r="H64" i="12"/>
  <c r="G64" i="12" s="1"/>
  <c r="B7" i="12"/>
  <c r="H63" i="12"/>
  <c r="G63" i="12" s="1"/>
  <c r="H62" i="12"/>
  <c r="G62" i="12" s="1"/>
  <c r="H61" i="12"/>
  <c r="G61" i="12" s="1"/>
  <c r="H60" i="12"/>
  <c r="G60" i="12" s="1"/>
  <c r="H59" i="12"/>
  <c r="G59" i="12" s="1"/>
  <c r="H58" i="12"/>
  <c r="G58" i="12" s="1"/>
  <c r="H57" i="12"/>
  <c r="G57" i="12" s="1"/>
  <c r="H56" i="12"/>
  <c r="G56" i="12" s="1"/>
  <c r="H55" i="12"/>
  <c r="G55" i="12" s="1"/>
  <c r="E5" i="12"/>
  <c r="H54" i="12"/>
  <c r="G54" i="12" s="1"/>
  <c r="H53" i="12"/>
  <c r="G53" i="12" s="1"/>
  <c r="H52" i="12"/>
  <c r="G52" i="12" s="1"/>
  <c r="H50" i="12"/>
  <c r="B10" i="13" l="1"/>
  <c r="B10" i="12"/>
  <c r="G13" i="11"/>
  <c r="G12" i="11"/>
  <c r="R16" i="12" l="1"/>
  <c r="H51" i="12"/>
  <c r="G51" i="12" s="1"/>
  <c r="G50" i="12"/>
  <c r="H49" i="12"/>
  <c r="G49" i="12" s="1"/>
  <c r="H48" i="12"/>
  <c r="G48" i="12" s="1"/>
  <c r="H47" i="12"/>
  <c r="G47" i="12" s="1"/>
  <c r="H46" i="12"/>
  <c r="G46" i="12" s="1"/>
  <c r="H45" i="12"/>
  <c r="G45" i="12" s="1"/>
  <c r="H44" i="12"/>
  <c r="G44" i="12"/>
  <c r="H43" i="12"/>
  <c r="G43" i="12"/>
  <c r="H42" i="12"/>
  <c r="G42" i="12" s="1"/>
  <c r="H41" i="12"/>
  <c r="G41" i="12" s="1"/>
  <c r="H40" i="12"/>
  <c r="G40" i="12" s="1"/>
  <c r="H39" i="12"/>
  <c r="G39" i="12" s="1"/>
  <c r="H38" i="12"/>
  <c r="G38" i="12" s="1"/>
  <c r="H37" i="12"/>
  <c r="G37" i="12" s="1"/>
  <c r="H36" i="12"/>
  <c r="G36" i="12" s="1"/>
  <c r="H35" i="12"/>
  <c r="G35" i="12" s="1"/>
  <c r="H34" i="12"/>
  <c r="G34" i="12" s="1"/>
  <c r="H33" i="12"/>
  <c r="G33" i="12" s="1"/>
  <c r="H32" i="12"/>
  <c r="G32" i="12"/>
  <c r="H31" i="12"/>
  <c r="G31" i="12" s="1"/>
  <c r="H30" i="12"/>
  <c r="G30" i="12" s="1"/>
  <c r="H29" i="12"/>
  <c r="G29" i="12" s="1"/>
  <c r="H28" i="12"/>
  <c r="G28" i="12" s="1"/>
  <c r="H27" i="12"/>
  <c r="G27" i="12" s="1"/>
  <c r="H26" i="12"/>
  <c r="G26" i="12" s="1"/>
  <c r="H25" i="12"/>
  <c r="G25" i="12" s="1"/>
  <c r="H24" i="12"/>
  <c r="G24" i="12" s="1"/>
  <c r="H23" i="12"/>
  <c r="G23" i="12"/>
  <c r="S22" i="12"/>
  <c r="R22" i="12" s="1"/>
  <c r="H22" i="12"/>
  <c r="G22" i="12" s="1"/>
  <c r="S21" i="12"/>
  <c r="R21" i="12" s="1"/>
  <c r="H21" i="12"/>
  <c r="G21" i="12" s="1"/>
  <c r="S20" i="12"/>
  <c r="R20" i="12" s="1"/>
  <c r="H20" i="12"/>
  <c r="G20" i="12" s="1"/>
  <c r="S19" i="12"/>
  <c r="R19" i="12" s="1"/>
  <c r="H19" i="12"/>
  <c r="G19" i="12" s="1"/>
  <c r="S18" i="12"/>
  <c r="R18" i="12" s="1"/>
  <c r="H18" i="12"/>
  <c r="G18" i="12" s="1"/>
  <c r="S17" i="12"/>
  <c r="R17" i="12" s="1"/>
  <c r="H17" i="12"/>
  <c r="G17" i="12" s="1"/>
  <c r="S16" i="12"/>
  <c r="H16" i="12"/>
  <c r="G16" i="12" s="1"/>
  <c r="E12" i="12"/>
  <c r="E11" i="12"/>
  <c r="E10" i="12"/>
  <c r="E9" i="12"/>
  <c r="E8" i="12"/>
  <c r="E7" i="12"/>
  <c r="E6" i="12"/>
  <c r="D2" i="11"/>
  <c r="G10" i="11"/>
  <c r="G11" i="11"/>
  <c r="G9" i="11"/>
  <c r="D2" i="5"/>
  <c r="D3" i="5"/>
  <c r="D5" i="5"/>
  <c r="I11" i="5"/>
  <c r="I12" i="5"/>
  <c r="I13" i="5"/>
  <c r="I14" i="5"/>
  <c r="I15" i="5"/>
  <c r="I16" i="5"/>
  <c r="I17" i="5"/>
  <c r="I18" i="5"/>
  <c r="I19" i="5"/>
  <c r="I10" i="5"/>
  <c r="D4" i="5" s="1"/>
  <c r="F11" i="5"/>
  <c r="D6" i="5" s="1"/>
  <c r="E13" i="10"/>
  <c r="E12" i="10"/>
  <c r="E11" i="10"/>
  <c r="E10" i="10"/>
  <c r="E9" i="10"/>
  <c r="E8" i="10"/>
  <c r="E2" i="10"/>
  <c r="E3" i="10"/>
  <c r="E4" i="10"/>
  <c r="E5" i="10"/>
  <c r="E6" i="10"/>
  <c r="H10" i="10"/>
  <c r="H9" i="10"/>
  <c r="H8" i="10"/>
  <c r="H7" i="10"/>
  <c r="H5" i="10"/>
  <c r="H4" i="10"/>
  <c r="H3" i="10"/>
  <c r="J21" i="10"/>
  <c r="H21" i="10" s="1"/>
  <c r="G21" i="10" s="1"/>
  <c r="J19" i="10"/>
  <c r="H6" i="10" s="1"/>
  <c r="J18" i="10"/>
  <c r="B8" i="10" s="1"/>
  <c r="H20" i="10"/>
  <c r="G20" i="10" s="1"/>
  <c r="H22" i="10"/>
  <c r="H23" i="10"/>
  <c r="G23" i="10" s="1"/>
  <c r="H24" i="10"/>
  <c r="H25" i="10"/>
  <c r="G25" i="10" s="1"/>
  <c r="E12" i="7"/>
  <c r="B8" i="7"/>
  <c r="B7" i="7"/>
  <c r="S22" i="7"/>
  <c r="R22" i="7" s="1"/>
  <c r="S21" i="7"/>
  <c r="R21" i="7" s="1"/>
  <c r="S20" i="7"/>
  <c r="R20" i="7" s="1"/>
  <c r="S19" i="7"/>
  <c r="R19" i="7" s="1"/>
  <c r="S18" i="7"/>
  <c r="R18" i="7" s="1"/>
  <c r="S17" i="7"/>
  <c r="R17" i="7" s="1"/>
  <c r="S16" i="7"/>
  <c r="R16" i="7" s="1"/>
  <c r="E11" i="7"/>
  <c r="E10" i="7"/>
  <c r="E9" i="7"/>
  <c r="E8" i="7"/>
  <c r="E7" i="7"/>
  <c r="E6" i="7"/>
  <c r="E5" i="7"/>
  <c r="H17" i="7"/>
  <c r="G17" i="7" s="1"/>
  <c r="H18" i="7"/>
  <c r="G18" i="7" s="1"/>
  <c r="H19" i="7"/>
  <c r="G19" i="7" s="1"/>
  <c r="H20" i="7"/>
  <c r="G20" i="7" s="1"/>
  <c r="H21" i="7"/>
  <c r="G21" i="7" s="1"/>
  <c r="H22" i="7"/>
  <c r="G22" i="7" s="1"/>
  <c r="H23" i="7"/>
  <c r="G23" i="7" s="1"/>
  <c r="H24" i="7"/>
  <c r="G24" i="7" s="1"/>
  <c r="H25" i="7"/>
  <c r="G25" i="7" s="1"/>
  <c r="H26" i="7"/>
  <c r="G26" i="7" s="1"/>
  <c r="H27" i="7"/>
  <c r="G27" i="7" s="1"/>
  <c r="H28" i="7"/>
  <c r="G28" i="7" s="1"/>
  <c r="H29" i="7"/>
  <c r="G29" i="7" s="1"/>
  <c r="H30" i="7"/>
  <c r="G30" i="7" s="1"/>
  <c r="H31" i="7"/>
  <c r="G31" i="7" s="1"/>
  <c r="H32" i="7"/>
  <c r="G32" i="7" s="1"/>
  <c r="H33" i="7"/>
  <c r="G33" i="7" s="1"/>
  <c r="H34" i="7"/>
  <c r="G34" i="7" s="1"/>
  <c r="H35" i="7"/>
  <c r="G35" i="7" s="1"/>
  <c r="H36" i="7"/>
  <c r="G36" i="7" s="1"/>
  <c r="H37" i="7"/>
  <c r="G37" i="7" s="1"/>
  <c r="H38" i="7"/>
  <c r="G38" i="7" s="1"/>
  <c r="H39" i="7"/>
  <c r="G39" i="7" s="1"/>
  <c r="H40" i="7"/>
  <c r="G40" i="7" s="1"/>
  <c r="H41" i="7"/>
  <c r="G41" i="7" s="1"/>
  <c r="H42" i="7"/>
  <c r="G42" i="7" s="1"/>
  <c r="H43" i="7"/>
  <c r="G43" i="7" s="1"/>
  <c r="H44" i="7"/>
  <c r="G44" i="7" s="1"/>
  <c r="H45" i="7"/>
  <c r="G45" i="7" s="1"/>
  <c r="H46" i="7"/>
  <c r="G46" i="7" s="1"/>
  <c r="H47" i="7"/>
  <c r="G47" i="7" s="1"/>
  <c r="H48" i="7"/>
  <c r="G48" i="7" s="1"/>
  <c r="H49" i="7"/>
  <c r="G49" i="7" s="1"/>
  <c r="H50" i="7"/>
  <c r="G50" i="7" s="1"/>
  <c r="H51" i="7"/>
  <c r="G51" i="7" s="1"/>
  <c r="H16" i="7"/>
  <c r="G16" i="7" s="1"/>
  <c r="D4" i="11" l="1"/>
  <c r="D3" i="11"/>
  <c r="E7" i="10"/>
  <c r="H18" i="10"/>
  <c r="G18" i="10" s="1"/>
  <c r="H19" i="10"/>
  <c r="G19" i="10" s="1"/>
  <c r="H2" i="10"/>
  <c r="G22" i="10"/>
  <c r="G24" i="10"/>
</calcChain>
</file>

<file path=xl/sharedStrings.xml><?xml version="1.0" encoding="utf-8"?>
<sst xmlns="http://schemas.openxmlformats.org/spreadsheetml/2006/main" count="1824" uniqueCount="443">
  <si>
    <t>Mes</t>
  </si>
  <si>
    <t>IVA</t>
  </si>
  <si>
    <t>Subtotal</t>
  </si>
  <si>
    <t>Descuento</t>
  </si>
  <si>
    <t>Total</t>
  </si>
  <si>
    <t>Concepto</t>
  </si>
  <si>
    <t>Fecha Límite de Pago</t>
  </si>
  <si>
    <t>Monto</t>
  </si>
  <si>
    <t>Efectivo</t>
  </si>
  <si>
    <t>Fecha</t>
  </si>
  <si>
    <t>Renta</t>
  </si>
  <si>
    <t>Julio</t>
  </si>
  <si>
    <t>Daniela Reyes Campero</t>
  </si>
  <si>
    <t>BBVA-Alo</t>
  </si>
  <si>
    <t>-</t>
  </si>
  <si>
    <t>Dulce Maria Moreno</t>
  </si>
  <si>
    <t>Limpieza Profunda</t>
  </si>
  <si>
    <t xml:space="preserve">Alejandra Martinez Hernandez </t>
  </si>
  <si>
    <t>Alondra Resendiz</t>
  </si>
  <si>
    <t>Caja</t>
  </si>
  <si>
    <t>Alicia Ariadna</t>
  </si>
  <si>
    <t>MES</t>
  </si>
  <si>
    <t>Estatus</t>
  </si>
  <si>
    <t>Utilidad Mensual</t>
  </si>
  <si>
    <t>Agosto</t>
  </si>
  <si>
    <t>Fernanda Mondragon</t>
  </si>
  <si>
    <t xml:space="preserve">Limpiador </t>
  </si>
  <si>
    <t>Fluido Glamurage</t>
  </si>
  <si>
    <t>Limpiador todo tipo de piel Marant</t>
  </si>
  <si>
    <t>Fabiola Estrella</t>
  </si>
  <si>
    <t>Axila y Bigote</t>
  </si>
  <si>
    <t>Angel Pacheco</t>
  </si>
  <si>
    <t>Fluido todo tipo de piel</t>
  </si>
  <si>
    <t>Peroxido de benzolio</t>
  </si>
  <si>
    <t>Revisado</t>
  </si>
  <si>
    <t xml:space="preserve">Dulce Fernanda Gasca Lopez </t>
  </si>
  <si>
    <t>Costo</t>
  </si>
  <si>
    <t>Ganancia</t>
  </si>
  <si>
    <t>Antiage Silk y Roses contorno despigmentante</t>
  </si>
  <si>
    <t xml:space="preserve">Fluido piel madura </t>
  </si>
  <si>
    <t>Desodorantes de alumbre</t>
  </si>
  <si>
    <t>Pantalla oil free despigmentante</t>
  </si>
  <si>
    <t>Pantalla oil free todo tipo de piel</t>
  </si>
  <si>
    <t>Gel reafirmante facial</t>
  </si>
  <si>
    <t>Mariana Morales</t>
  </si>
  <si>
    <t xml:space="preserve">Sarai Molina </t>
  </si>
  <si>
    <t>Pantalla solar Oil Free despigmentante</t>
  </si>
  <si>
    <t>Paloma Cuellar</t>
  </si>
  <si>
    <t>Gaby Ramirez Vargas</t>
  </si>
  <si>
    <t xml:space="preserve">Brisa Uribe </t>
  </si>
  <si>
    <t>AHORRO</t>
  </si>
  <si>
    <t>Muebles</t>
  </si>
  <si>
    <t>Fer Paredes</t>
  </si>
  <si>
    <t xml:space="preserve">Maria Paz Avarado </t>
  </si>
  <si>
    <t>Andrea Malvaez</t>
  </si>
  <si>
    <t>Claret</t>
  </si>
  <si>
    <t>Carolina Rebollar</t>
  </si>
  <si>
    <t>Guadalupe de Jesus Garcia</t>
  </si>
  <si>
    <t>Dermapen</t>
  </si>
  <si>
    <t>Axila y Bikini</t>
  </si>
  <si>
    <t>Pagos</t>
  </si>
  <si>
    <t>Alondra Osorno</t>
  </si>
  <si>
    <t xml:space="preserve">Dulce Maria Perez Alegria </t>
  </si>
  <si>
    <t>Biga de madera</t>
  </si>
  <si>
    <t>Pago Letreros</t>
  </si>
  <si>
    <t xml:space="preserve">Total </t>
  </si>
  <si>
    <t>Globos de apertua</t>
  </si>
  <si>
    <t xml:space="preserve">Diana Tellez </t>
  </si>
  <si>
    <t>Liz Mendoza</t>
  </si>
  <si>
    <t xml:space="preserve">Maria José Mondragon </t>
  </si>
  <si>
    <t>Bote de basura</t>
  </si>
  <si>
    <t>Conta</t>
  </si>
  <si>
    <t>RENTA</t>
  </si>
  <si>
    <t>Ingresos y gastos de dinero acumulado</t>
  </si>
  <si>
    <t>Utilidad Julio</t>
  </si>
  <si>
    <t>Mes:</t>
  </si>
  <si>
    <t>Resumen Financiero</t>
  </si>
  <si>
    <t xml:space="preserve">Tipo </t>
  </si>
  <si>
    <t>Cliente</t>
  </si>
  <si>
    <t xml:space="preserve">Forma de pago </t>
  </si>
  <si>
    <t xml:space="preserve">Cuenta Bancaria </t>
  </si>
  <si>
    <t>Fecha de pago</t>
  </si>
  <si>
    <t>TOTAL Ingresos</t>
  </si>
  <si>
    <t>TOTAL Egresos</t>
  </si>
  <si>
    <t>Transferencia</t>
  </si>
  <si>
    <t>BBVA Alo</t>
  </si>
  <si>
    <t>Ingresos por servicios</t>
  </si>
  <si>
    <t>Limpieza profunda</t>
  </si>
  <si>
    <t>Anti-acné</t>
  </si>
  <si>
    <t>Producto cosme</t>
  </si>
  <si>
    <t>Depilación láser</t>
  </si>
  <si>
    <t>Facial despigmentante</t>
  </si>
  <si>
    <t>Lifting facial</t>
  </si>
  <si>
    <t>PRODUCTO</t>
  </si>
  <si>
    <t>INGRESOS</t>
  </si>
  <si>
    <t>Comentarios</t>
  </si>
  <si>
    <t>EGRESOS</t>
  </si>
  <si>
    <t>Servicio</t>
  </si>
  <si>
    <t>Otro</t>
  </si>
  <si>
    <t>Depilación Láser</t>
  </si>
  <si>
    <t xml:space="preserve">Fecha </t>
  </si>
  <si>
    <t>Producto</t>
  </si>
  <si>
    <t>Observaciones</t>
  </si>
  <si>
    <t>Cuenta bancaria</t>
  </si>
  <si>
    <t>VENTA TOTAL</t>
  </si>
  <si>
    <t>VENTA POR MES</t>
  </si>
  <si>
    <t>enero</t>
  </si>
  <si>
    <t>febrero</t>
  </si>
  <si>
    <t>marzo</t>
  </si>
  <si>
    <t>abril</t>
  </si>
  <si>
    <t>mayo</t>
  </si>
  <si>
    <t xml:space="preserve">junio </t>
  </si>
  <si>
    <t xml:space="preserve">julio </t>
  </si>
  <si>
    <t xml:space="preserve">agosto </t>
  </si>
  <si>
    <t xml:space="preserve">septiembre </t>
  </si>
  <si>
    <t xml:space="preserve">octubre </t>
  </si>
  <si>
    <t xml:space="preserve">noviembre </t>
  </si>
  <si>
    <t xml:space="preserve">diciembre </t>
  </si>
  <si>
    <t>VENTA POR PRODUCTO</t>
  </si>
  <si>
    <t>Limpiador</t>
  </si>
  <si>
    <t>Serum renovage piel madura</t>
  </si>
  <si>
    <t>Fluido piel madura</t>
  </si>
  <si>
    <t>Peroxido de benzolio y clindamicina</t>
  </si>
  <si>
    <t>junio</t>
  </si>
  <si>
    <t>Ventas de productos</t>
  </si>
  <si>
    <t>Precio público</t>
  </si>
  <si>
    <t>INVENTARIO PRODUCTOS COSMETOLOGICOS</t>
  </si>
  <si>
    <t>No</t>
  </si>
  <si>
    <t>Código</t>
  </si>
  <si>
    <t>VE01</t>
  </si>
  <si>
    <t>VE02</t>
  </si>
  <si>
    <t>VE03</t>
  </si>
  <si>
    <t>VE04</t>
  </si>
  <si>
    <t>VE05</t>
  </si>
  <si>
    <t>VE06</t>
  </si>
  <si>
    <t>VE07</t>
  </si>
  <si>
    <t>VE08</t>
  </si>
  <si>
    <t>VE09</t>
  </si>
  <si>
    <t>VE10</t>
  </si>
  <si>
    <t>Stock</t>
  </si>
  <si>
    <t>Stock Minimo</t>
  </si>
  <si>
    <t>Estado</t>
  </si>
  <si>
    <t>Total de productos</t>
  </si>
  <si>
    <t>Productos con stock = 0</t>
  </si>
  <si>
    <t>Productos por reabastecer</t>
  </si>
  <si>
    <t>Valor total estimado del inventario</t>
  </si>
  <si>
    <t>Ganancia total potencial</t>
  </si>
  <si>
    <t>Resumen inventario</t>
  </si>
  <si>
    <t>Canal / Medio</t>
  </si>
  <si>
    <t>Campaña / Descripción</t>
  </si>
  <si>
    <t>Monto invertido</t>
  </si>
  <si>
    <t>Objetivo principal</t>
  </si>
  <si>
    <t>Resultados</t>
  </si>
  <si>
    <t>Costo por resultado</t>
  </si>
  <si>
    <t>Aumentar ventas</t>
  </si>
  <si>
    <t>Muy buen engagement</t>
  </si>
  <si>
    <t>3 clientes</t>
  </si>
  <si>
    <t>Publicidad y marketing</t>
  </si>
  <si>
    <t>Total invertido</t>
  </si>
  <si>
    <t>Costo promedio por resultado</t>
  </si>
  <si>
    <t>Campaña más efectiva</t>
  </si>
  <si>
    <t>RESUMEN RESULTADOS</t>
  </si>
  <si>
    <t>Mejor que dar volantes</t>
  </si>
  <si>
    <t>Facebook Ads</t>
  </si>
  <si>
    <t>Masaje (cuerpo en pausa)</t>
  </si>
  <si>
    <t>Piel Madura (Facial)</t>
  </si>
  <si>
    <t>Facial Mañanero</t>
  </si>
  <si>
    <t>5 ventas</t>
  </si>
  <si>
    <t>19 citas</t>
  </si>
  <si>
    <t xml:space="preserve">Dulce Maria Moreno </t>
  </si>
  <si>
    <t>Facial regenerante</t>
  </si>
  <si>
    <t xml:space="preserve">No fue el mejor post </t>
  </si>
  <si>
    <t>Anticipo de Alo Ayala</t>
  </si>
  <si>
    <t xml:space="preserve">Ximena Romero </t>
  </si>
  <si>
    <t>Mensajes WhatsApp</t>
  </si>
  <si>
    <t xml:space="preserve">Vuelve a agendar </t>
  </si>
  <si>
    <t>Retomar tratamientos</t>
  </si>
  <si>
    <t>5 Citas</t>
  </si>
  <si>
    <t>Gaby PezaC</t>
  </si>
  <si>
    <t>Comida</t>
  </si>
  <si>
    <t>Said</t>
  </si>
  <si>
    <t xml:space="preserve">Paola Isabel </t>
  </si>
  <si>
    <t>Alondra Real</t>
  </si>
  <si>
    <t>Protector Despigmentante</t>
  </si>
  <si>
    <t>Serum Miguet despigmentante</t>
  </si>
  <si>
    <t>Paola Ugalde</t>
  </si>
  <si>
    <t>Etel Alicia Rincon Faz</t>
  </si>
  <si>
    <t xml:space="preserve">Seguimiento, un poco roja </t>
  </si>
  <si>
    <t xml:space="preserve">Carolina </t>
  </si>
  <si>
    <t>Tarjeta</t>
  </si>
  <si>
    <t>Enrique Rojo</t>
  </si>
  <si>
    <t>Marvin</t>
  </si>
  <si>
    <t>Alondra Arteaga</t>
  </si>
  <si>
    <t>Anna Valerio</t>
  </si>
  <si>
    <t>Luz Pulsada sig.cita(no dejo anticipo)</t>
  </si>
  <si>
    <t>ok</t>
  </si>
  <si>
    <t>Deuda de</t>
  </si>
  <si>
    <t>Ariel</t>
  </si>
  <si>
    <t>ok, proxima cita mes y medio</t>
  </si>
  <si>
    <t>sin anticipo</t>
  </si>
  <si>
    <t>Gaby Ramirez</t>
  </si>
  <si>
    <t xml:space="preserve">Gabriela Carrillo </t>
  </si>
  <si>
    <t>Ely Carrillo</t>
  </si>
  <si>
    <t>Monica García Ortis</t>
  </si>
  <si>
    <t>Anticipo de Monica y su hermano</t>
  </si>
  <si>
    <t xml:space="preserve">Mariana Morales </t>
  </si>
  <si>
    <t xml:space="preserve">Emily Ventura </t>
  </si>
  <si>
    <t>3 citas</t>
  </si>
  <si>
    <t>Dory Aguilar</t>
  </si>
  <si>
    <t>masaje</t>
  </si>
  <si>
    <t>Andy Velazquez</t>
  </si>
  <si>
    <t>Mariy Paz Alvarado</t>
  </si>
  <si>
    <t>Fernanda Segundo</t>
  </si>
  <si>
    <t>Coche</t>
  </si>
  <si>
    <t>masaje mandar  cara+ax o solo cara</t>
  </si>
  <si>
    <t xml:space="preserve">Venia un poco brotada </t>
  </si>
  <si>
    <t>Anticipo de Fer Segundo</t>
  </si>
  <si>
    <t>Impuestos</t>
  </si>
  <si>
    <t>sat</t>
  </si>
  <si>
    <t>Aranza Montserat</t>
  </si>
  <si>
    <t xml:space="preserve">Abigail Garcia Hernandez </t>
  </si>
  <si>
    <t xml:space="preserve">Dulce Fernanda Gasca </t>
  </si>
  <si>
    <t xml:space="preserve">Citlali Paz Correa </t>
  </si>
  <si>
    <t>Masaje relax</t>
  </si>
  <si>
    <t>NA</t>
  </si>
  <si>
    <t>Fluido piel madura para su mamá</t>
  </si>
  <si>
    <t>Anticipo de su proxima cita</t>
  </si>
  <si>
    <t xml:space="preserve">Seguimiento </t>
  </si>
  <si>
    <t xml:space="preserve">Ariadna Garcia Hernandez </t>
  </si>
  <si>
    <t xml:space="preserve">Abigail Feregrino </t>
  </si>
  <si>
    <t xml:space="preserve">anticipo de depilacion </t>
  </si>
  <si>
    <t>Mariel Mendez</t>
  </si>
  <si>
    <t xml:space="preserve">Ingrid Cruz Colin </t>
  </si>
  <si>
    <t>Isela Valerio</t>
  </si>
  <si>
    <t>Ary Perez</t>
  </si>
  <si>
    <t xml:space="preserve">Tanya Casas Zuñiga </t>
  </si>
  <si>
    <t>PV</t>
  </si>
  <si>
    <t>FALTARON 100</t>
  </si>
  <si>
    <t>Limpiador despigmentante</t>
  </si>
  <si>
    <t xml:space="preserve">protector solar despigmentante </t>
  </si>
  <si>
    <t>gel despigmentante</t>
  </si>
  <si>
    <t xml:space="preserve">Publicidad </t>
  </si>
  <si>
    <t xml:space="preserve">Deuda mes anterior </t>
  </si>
  <si>
    <t>said</t>
  </si>
  <si>
    <t xml:space="preserve">100 de anticipo </t>
  </si>
  <si>
    <t>Septiembre</t>
  </si>
  <si>
    <t xml:space="preserve">Andy Velazquez </t>
  </si>
  <si>
    <t>Seguimiento</t>
  </si>
  <si>
    <t xml:space="preserve">Marlen Hernandez </t>
  </si>
  <si>
    <t xml:space="preserve">Masaje </t>
  </si>
  <si>
    <t xml:space="preserve">Paola Isabel Gonzalez </t>
  </si>
  <si>
    <t>Limpiador despigmentante cutaneo klaraderm</t>
  </si>
  <si>
    <t>agenda pro</t>
  </si>
  <si>
    <t>Citas en General</t>
  </si>
  <si>
    <t>7 Citas</t>
  </si>
  <si>
    <t xml:space="preserve">Masaje llamó mas la atención </t>
  </si>
  <si>
    <t xml:space="preserve">Ingresos Mensuales </t>
  </si>
  <si>
    <t>Ingreso Bruto</t>
  </si>
  <si>
    <t>Gastos totales</t>
  </si>
  <si>
    <t xml:space="preserve">Guadalupe Grcía </t>
  </si>
  <si>
    <t>Axila+Bikini</t>
  </si>
  <si>
    <t>contabilidad</t>
  </si>
  <si>
    <t xml:space="preserve">Ariel </t>
  </si>
  <si>
    <t xml:space="preserve">Alondra Anaya </t>
  </si>
  <si>
    <t>Alondra Anaya</t>
  </si>
  <si>
    <t>31/09/2025</t>
  </si>
  <si>
    <t>TDC ALO</t>
  </si>
  <si>
    <t>Camila Montúfar Resendiz</t>
  </si>
  <si>
    <t xml:space="preserve">Alejandra Matinez Hernandez </t>
  </si>
  <si>
    <t>Facial antioxidante</t>
  </si>
  <si>
    <t xml:space="preserve">Elizabeth Olvera </t>
  </si>
  <si>
    <t xml:space="preserve">Gel eclarsisan </t>
  </si>
  <si>
    <t>Alondra Anya</t>
  </si>
  <si>
    <t xml:space="preserve">Protector Solar Manzana </t>
  </si>
  <si>
    <t xml:space="preserve">Frida Cuevas Peña </t>
  </si>
  <si>
    <t xml:space="preserve">Skin Analyzed </t>
  </si>
  <si>
    <t>Anticipo Alo y su mamá</t>
  </si>
  <si>
    <t xml:space="preserve">Gabriela Ramirez </t>
  </si>
  <si>
    <t xml:space="preserve">Gabriela Peza </t>
  </si>
  <si>
    <t xml:space="preserve">Paola Ugalde Nicolás </t>
  </si>
  <si>
    <t xml:space="preserve">Jessica Estrella Rios </t>
  </si>
  <si>
    <t xml:space="preserve">Liz Mendoza </t>
  </si>
  <si>
    <t>Guadalupe Lizbeth Nieto</t>
  </si>
  <si>
    <t>Tania Lizeth Mendoza Castañeda</t>
  </si>
  <si>
    <t>Locion de colageno</t>
  </si>
  <si>
    <t>Carro</t>
  </si>
  <si>
    <t xml:space="preserve">Abigail Hernandez </t>
  </si>
  <si>
    <t>Etel Alicia Rincón Fa</t>
  </si>
  <si>
    <t xml:space="preserve">Andrea Rodriguez </t>
  </si>
  <si>
    <t>na</t>
  </si>
  <si>
    <t>Sat</t>
  </si>
  <si>
    <t xml:space="preserve">Evelyn Zamora Resendiz </t>
  </si>
  <si>
    <t xml:space="preserve">Monica García Ortiz </t>
  </si>
  <si>
    <t>100anticipo</t>
  </si>
  <si>
    <t xml:space="preserve">Patricia Martinez Cisneros </t>
  </si>
  <si>
    <t>Mary Paz Alvarado</t>
  </si>
  <si>
    <t xml:space="preserve">Fernanda Segundo </t>
  </si>
  <si>
    <t>Manzana Verde G</t>
  </si>
  <si>
    <t>100anticipo debe 50</t>
  </si>
  <si>
    <t xml:space="preserve">María Elena Cruz </t>
  </si>
  <si>
    <t>Seruma AY y Niacinamida Miguet</t>
  </si>
  <si>
    <t xml:space="preserve">Erika Colin </t>
  </si>
  <si>
    <t>Ingrid Santiago</t>
  </si>
  <si>
    <t xml:space="preserve">                                                       </t>
  </si>
  <si>
    <t xml:space="preserve">bk ax y big </t>
  </si>
  <si>
    <t xml:space="preserve">Iris Gonsalez </t>
  </si>
  <si>
    <t xml:space="preserve">Ariadna García Hernandez </t>
  </si>
  <si>
    <t xml:space="preserve">Renta </t>
  </si>
  <si>
    <t>Material</t>
  </si>
  <si>
    <t xml:space="preserve">Mariel Mendez </t>
  </si>
  <si>
    <t xml:space="preserve">Paloma Cuellar Magos </t>
  </si>
  <si>
    <t>bloqueador</t>
  </si>
  <si>
    <t xml:space="preserve">Emulsion despigmentante </t>
  </si>
  <si>
    <t xml:space="preserve">Mariana Morales Arias </t>
  </si>
  <si>
    <t xml:space="preserve">Nelly Nieto </t>
  </si>
  <si>
    <t>Andrea Nieves Renterai</t>
  </si>
  <si>
    <t xml:space="preserve">Fluido hidratante </t>
  </si>
  <si>
    <t>extra</t>
  </si>
  <si>
    <t>Utilidad Agosto</t>
  </si>
  <si>
    <t xml:space="preserve">Septiembre </t>
  </si>
  <si>
    <t xml:space="preserve">Utilidad Septiembre </t>
  </si>
  <si>
    <t xml:space="preserve">Frida Cuevas </t>
  </si>
  <si>
    <t xml:space="preserve">Kenia Cruz </t>
  </si>
  <si>
    <t xml:space="preserve">Axila y brazo completo </t>
  </si>
  <si>
    <t xml:space="preserve">Maria Fernanda Gasca </t>
  </si>
  <si>
    <t xml:space="preserve">Mama de Alo </t>
  </si>
  <si>
    <t xml:space="preserve">200(anticipo 2 citas </t>
  </si>
  <si>
    <t xml:space="preserve">Gaby Ramirez </t>
  </si>
  <si>
    <t>Bk completo e interg</t>
  </si>
  <si>
    <t xml:space="preserve">100 Anticipo </t>
  </si>
  <si>
    <t xml:space="preserve">Paola Iasabel </t>
  </si>
  <si>
    <t xml:space="preserve">Gaby Peza </t>
  </si>
  <si>
    <t>Axila y bigote</t>
  </si>
  <si>
    <t xml:space="preserve">Erik Colin </t>
  </si>
  <si>
    <t>Resta 170</t>
  </si>
  <si>
    <t xml:space="preserve">Tania Mendoza </t>
  </si>
  <si>
    <t xml:space="preserve">Cara </t>
  </si>
  <si>
    <t xml:space="preserve">Etel </t>
  </si>
  <si>
    <t>Hidratacion Mañanera</t>
  </si>
  <si>
    <t>Dulce María Moreno</t>
  </si>
  <si>
    <t>AX, BK,BG</t>
  </si>
  <si>
    <t xml:space="preserve">Sarahi Molina </t>
  </si>
  <si>
    <t>Danza</t>
  </si>
  <si>
    <t xml:space="preserve">Alejandra Martinez </t>
  </si>
  <si>
    <t xml:space="preserve">Mary Paz Alvarado </t>
  </si>
  <si>
    <t xml:space="preserve">anticipo producto </t>
  </si>
  <si>
    <t xml:space="preserve">Alondra Arteaga </t>
  </si>
  <si>
    <t>AX,BK,PIER</t>
  </si>
  <si>
    <t xml:space="preserve">Evelyn Resendiz </t>
  </si>
  <si>
    <t xml:space="preserve">impuestos </t>
  </si>
  <si>
    <t xml:space="preserve">Daniel Olguin </t>
  </si>
  <si>
    <t xml:space="preserve">Patricia Martinez </t>
  </si>
  <si>
    <t xml:space="preserve">Brenda Alejandra </t>
  </si>
  <si>
    <t xml:space="preserve">Ariadna Grcia </t>
  </si>
  <si>
    <t xml:space="preserve">Jony </t>
  </si>
  <si>
    <t xml:space="preserve">400 anticipo </t>
  </si>
  <si>
    <t xml:space="preserve">Guadalupe </t>
  </si>
  <si>
    <t>tablaroca</t>
  </si>
  <si>
    <t>seasons</t>
  </si>
  <si>
    <t xml:space="preserve">producto </t>
  </si>
  <si>
    <t>TARJETA</t>
  </si>
  <si>
    <t>Story</t>
  </si>
  <si>
    <t>rapi</t>
  </si>
  <si>
    <t>Scotia</t>
  </si>
  <si>
    <t>santander oro</t>
  </si>
  <si>
    <t>santander blanca</t>
  </si>
  <si>
    <t>bbva oro</t>
  </si>
  <si>
    <t xml:space="preserve">bbva azul </t>
  </si>
  <si>
    <t xml:space="preserve">amex alondra </t>
  </si>
  <si>
    <t>visa aeromexico</t>
  </si>
  <si>
    <t>openbank</t>
  </si>
  <si>
    <t>casa</t>
  </si>
  <si>
    <t xml:space="preserve">barre </t>
  </si>
  <si>
    <t xml:space="preserve">tenis </t>
  </si>
  <si>
    <t xml:space="preserve">danza </t>
  </si>
  <si>
    <t xml:space="preserve">gasolina alo </t>
  </si>
  <si>
    <t xml:space="preserve">gasolina said </t>
  </si>
  <si>
    <t>comidas semanal</t>
  </si>
  <si>
    <t xml:space="preserve">Croquetas </t>
  </si>
  <si>
    <t xml:space="preserve">Efectivo mensula </t>
  </si>
  <si>
    <t>internet</t>
  </si>
  <si>
    <t xml:space="preserve">vales de despensa </t>
  </si>
  <si>
    <t xml:space="preserve">recargas </t>
  </si>
  <si>
    <t xml:space="preserve">streeming </t>
  </si>
  <si>
    <t>paquete 1 ax+cara 425</t>
  </si>
  <si>
    <t>Paquete fijo 830</t>
  </si>
  <si>
    <t xml:space="preserve">Fernanda Gasca Lopez </t>
  </si>
  <si>
    <t>anticipo</t>
  </si>
  <si>
    <t xml:space="preserve">Francisca Reyes Muñoz </t>
  </si>
  <si>
    <t xml:space="preserve">Protector solar </t>
  </si>
  <si>
    <t>Serum</t>
  </si>
  <si>
    <t xml:space="preserve">Andy Velasquez </t>
  </si>
  <si>
    <t>Paloma Magos Cuellar</t>
  </si>
  <si>
    <t xml:space="preserve">Monica Ortiz </t>
  </si>
  <si>
    <t xml:space="preserve">Ceci Nicolás </t>
  </si>
  <si>
    <t xml:space="preserve">Mayra Lizet Quintanar </t>
  </si>
  <si>
    <t xml:space="preserve">Fluido sensibel </t>
  </si>
  <si>
    <t>Brenda Alejandra Guerrero</t>
  </si>
  <si>
    <t xml:space="preserve">Israel Marqurz </t>
  </si>
  <si>
    <t>despensa</t>
  </si>
  <si>
    <t xml:space="preserve">Evely Resendiz </t>
  </si>
  <si>
    <t>AX-BK-BIG</t>
  </si>
  <si>
    <t>ANTICIPO</t>
  </si>
  <si>
    <t>Brisa Alvarado</t>
  </si>
  <si>
    <t xml:space="preserve">cuerpo completo </t>
  </si>
  <si>
    <t>Dnaza</t>
  </si>
  <si>
    <t>comida</t>
  </si>
  <si>
    <t xml:space="preserve">mano de obra tablaroca </t>
  </si>
  <si>
    <t xml:space="preserve">piso </t>
  </si>
  <si>
    <t xml:space="preserve">pintura </t>
  </si>
  <si>
    <t xml:space="preserve">Producto </t>
  </si>
  <si>
    <t>Diciembre</t>
  </si>
  <si>
    <t xml:space="preserve">Fencisca Reyes Muñoz </t>
  </si>
  <si>
    <t>Fernanda segundo</t>
  </si>
  <si>
    <t xml:space="preserve">Alejandra Hernandez </t>
  </si>
  <si>
    <t>Abigail Feregrino</t>
  </si>
  <si>
    <t xml:space="preserve">Fernanda Gasca </t>
  </si>
  <si>
    <t>JUVES 15</t>
  </si>
  <si>
    <t xml:space="preserve">Anticipo </t>
  </si>
  <si>
    <t xml:space="preserve">Greis Atanacio Rodriguez </t>
  </si>
  <si>
    <t>carro</t>
  </si>
  <si>
    <t>pq1. cara+ax</t>
  </si>
  <si>
    <t>pq.2 piernas+ax+bk $750</t>
  </si>
  <si>
    <t>falto</t>
  </si>
  <si>
    <t xml:space="preserve">Paloma Cuellar </t>
  </si>
  <si>
    <t>ax</t>
  </si>
  <si>
    <t>Alejandra Guerrero</t>
  </si>
  <si>
    <t xml:space="preserve">Monica </t>
  </si>
  <si>
    <t xml:space="preserve">Gabriela Ramirez Vargas </t>
  </si>
  <si>
    <t xml:space="preserve">Sarahi </t>
  </si>
  <si>
    <t>despigmentante</t>
  </si>
  <si>
    <t>Protector Glamurage</t>
  </si>
  <si>
    <t xml:space="preserve">Paola Ugalde </t>
  </si>
  <si>
    <t xml:space="preserve">Abi Ayala </t>
  </si>
  <si>
    <t xml:space="preserve">Consuelo Patricia </t>
  </si>
  <si>
    <t xml:space="preserve">Karla Paola Gutierrez </t>
  </si>
  <si>
    <t>Giovana</t>
  </si>
  <si>
    <t xml:space="preserve">Isela Alvarez </t>
  </si>
  <si>
    <t>Facial Vitamina C</t>
  </si>
  <si>
    <t xml:space="preserve">drenaje linfatico facial </t>
  </si>
  <si>
    <t xml:space="preserve">Gloria Malrvel </t>
  </si>
  <si>
    <t>Claudia Vanessa</t>
  </si>
  <si>
    <t xml:space="preserve">Alejandra Jimenez Chavez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</si>
</sst>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FFFF"/>
      <name val="Comic Neue"/>
    </font>
    <font>
      <sz val="26"/>
      <color theme="1"/>
      <name val="NSimSun"/>
      <charset val="134"/>
    </font>
    <font>
      <b/>
      <sz val="12"/>
      <color theme="0"/>
      <name val="Arial Nova"/>
    </font>
    <font>
      <sz val="36"/>
      <color theme="0"/>
      <name val="Angsana New Italic"/>
    </font>
    <font>
      <sz val="11"/>
      <color theme="1"/>
      <name val="Arial Nova"/>
    </font>
    <font>
      <sz val="28"/>
      <color theme="0"/>
      <name val="Angsana New Bold Italic"/>
    </font>
    <font>
      <sz val="14"/>
      <color rgb="FF000000"/>
      <name val="Arial Nova"/>
    </font>
    <font>
      <sz val="12"/>
      <color theme="1"/>
      <name val="Arial Nova"/>
    </font>
    <font>
      <b/>
      <sz val="14"/>
      <color rgb="FFB1B98E"/>
      <name val="Arial Nova"/>
    </font>
    <font>
      <b/>
      <i/>
      <sz val="20"/>
      <color theme="0"/>
      <name val="Angsana New Bold Italic"/>
    </font>
    <font>
      <b/>
      <sz val="14"/>
      <color theme="1"/>
      <name val="Arial Nova"/>
    </font>
    <font>
      <sz val="8"/>
      <name val="Calibri"/>
      <family val="2"/>
      <scheme val="minor"/>
    </font>
    <font>
      <b/>
      <sz val="11"/>
      <color theme="0"/>
      <name val="Arial Nova"/>
    </font>
    <font>
      <sz val="26"/>
      <color theme="0"/>
      <name val="Angsana New Italic"/>
    </font>
    <font>
      <b/>
      <sz val="12"/>
      <color rgb="FFFFFFFF"/>
      <name val="Comic Neue"/>
    </font>
    <font>
      <b/>
      <sz val="11"/>
      <color rgb="FFFFFFFF"/>
      <name val="Comic Neue"/>
    </font>
    <font>
      <sz val="18"/>
      <color theme="0"/>
      <name val="Angsana New Bold Italic"/>
    </font>
    <font>
      <sz val="22"/>
      <color theme="0"/>
      <name val="Angsana New Italic"/>
    </font>
    <font>
      <sz val="10"/>
      <color theme="1"/>
      <name val="Arial Unicode MS"/>
      <family val="2"/>
    </font>
    <font>
      <sz val="10"/>
      <color theme="1"/>
      <name val="Arial Nova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9D1A1"/>
        <bgColor indexed="64"/>
      </patternFill>
    </fill>
    <fill>
      <patternFill patternType="solid">
        <fgColor rgb="FFB1B98E"/>
        <bgColor indexed="64"/>
      </patternFill>
    </fill>
    <fill>
      <patternFill patternType="solid">
        <fgColor rgb="FFECECEC"/>
        <bgColor theme="6" tint="0.59999389629810485"/>
      </patternFill>
    </fill>
    <fill>
      <patternFill patternType="solid">
        <fgColor rgb="FFECECEC"/>
        <bgColor indexed="64"/>
      </patternFill>
    </fill>
    <fill>
      <patternFill patternType="solid">
        <fgColor rgb="FFECECEC"/>
        <bgColor theme="6" tint="0.79998168889431442"/>
      </patternFill>
    </fill>
    <fill>
      <patternFill patternType="solid">
        <fgColor rgb="FFC9D1A1"/>
        <bgColor rgb="FF000000"/>
      </patternFill>
    </fill>
    <fill>
      <patternFill patternType="solid">
        <fgColor rgb="FFBDC497"/>
        <bgColor indexed="64"/>
      </patternFill>
    </fill>
    <fill>
      <patternFill patternType="solid">
        <fgColor rgb="FFA9B087"/>
        <bgColor indexed="64"/>
      </patternFill>
    </fill>
    <fill>
      <patternFill patternType="solid">
        <fgColor rgb="FFA3AA81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/>
      </right>
      <top/>
      <bottom/>
      <diagonal/>
    </border>
    <border>
      <left style="thin">
        <color rgb="FFA9B087"/>
      </left>
      <right style="thin">
        <color rgb="FFA9B087"/>
      </right>
      <top style="thin">
        <color rgb="FFA9B087"/>
      </top>
      <bottom style="thin">
        <color rgb="FFA9B087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A3AA81"/>
      </left>
      <right style="thin">
        <color rgb="FFA3AA81"/>
      </right>
      <top style="thin">
        <color rgb="FFA3AA81"/>
      </top>
      <bottom style="thin">
        <color rgb="FFA3AA8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9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wrapText="1"/>
    </xf>
    <xf numFmtId="14" fontId="7" fillId="5" borderId="2" xfId="0" applyNumberFormat="1" applyFont="1" applyFill="1" applyBorder="1"/>
    <xf numFmtId="0" fontId="7" fillId="5" borderId="2" xfId="0" applyFont="1" applyFill="1" applyBorder="1"/>
    <xf numFmtId="0" fontId="7" fillId="5" borderId="2" xfId="0" applyFont="1" applyFill="1" applyBorder="1" applyAlignment="1">
      <alignment wrapText="1"/>
    </xf>
    <xf numFmtId="44" fontId="7" fillId="5" borderId="2" xfId="1" applyFont="1" applyFill="1" applyBorder="1"/>
    <xf numFmtId="0" fontId="7" fillId="6" borderId="2" xfId="0" applyFont="1" applyFill="1" applyBorder="1"/>
    <xf numFmtId="14" fontId="7" fillId="7" borderId="2" xfId="0" applyNumberFormat="1" applyFont="1" applyFill="1" applyBorder="1"/>
    <xf numFmtId="0" fontId="7" fillId="7" borderId="2" xfId="0" applyFont="1" applyFill="1" applyBorder="1"/>
    <xf numFmtId="0" fontId="7" fillId="7" borderId="2" xfId="0" applyFont="1" applyFill="1" applyBorder="1" applyAlignment="1">
      <alignment wrapText="1"/>
    </xf>
    <xf numFmtId="44" fontId="7" fillId="7" borderId="2" xfId="1" applyFont="1" applyFill="1" applyBorder="1"/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11" fillId="0" borderId="4" xfId="0" applyFont="1" applyBorder="1" applyAlignment="1">
      <alignment wrapText="1"/>
    </xf>
    <xf numFmtId="0" fontId="10" fillId="0" borderId="4" xfId="0" applyFont="1" applyBorder="1" applyAlignment="1">
      <alignment wrapText="1"/>
    </xf>
    <xf numFmtId="44" fontId="10" fillId="0" borderId="4" xfId="1" applyFont="1" applyBorder="1"/>
    <xf numFmtId="0" fontId="5" fillId="9" borderId="2" xfId="0" applyFont="1" applyFill="1" applyBorder="1" applyAlignment="1">
      <alignment horizontal="center"/>
    </xf>
    <xf numFmtId="0" fontId="0" fillId="0" borderId="5" xfId="0" applyBorder="1"/>
    <xf numFmtId="14" fontId="7" fillId="0" borderId="5" xfId="0" applyNumberFormat="1" applyFont="1" applyBorder="1"/>
    <xf numFmtId="0" fontId="7" fillId="0" borderId="5" xfId="0" applyFont="1" applyBorder="1"/>
    <xf numFmtId="44" fontId="7" fillId="0" borderId="5" xfId="1" applyFont="1" applyFill="1" applyBorder="1"/>
    <xf numFmtId="44" fontId="9" fillId="0" borderId="4" xfId="0" applyNumberFormat="1" applyFont="1" applyBorder="1"/>
    <xf numFmtId="0" fontId="5" fillId="4" borderId="6" xfId="0" applyFont="1" applyFill="1" applyBorder="1" applyAlignment="1">
      <alignment horizontal="center"/>
    </xf>
    <xf numFmtId="0" fontId="10" fillId="0" borderId="7" xfId="0" applyFont="1" applyBorder="1" applyAlignment="1">
      <alignment wrapText="1"/>
    </xf>
    <xf numFmtId="44" fontId="10" fillId="0" borderId="7" xfId="1" applyFont="1" applyBorder="1"/>
    <xf numFmtId="0" fontId="10" fillId="0" borderId="7" xfId="0" applyFont="1" applyBorder="1"/>
    <xf numFmtId="0" fontId="3" fillId="8" borderId="7" xfId="0" applyFont="1" applyFill="1" applyBorder="1" applyAlignment="1">
      <alignment vertical="center"/>
    </xf>
    <xf numFmtId="44" fontId="7" fillId="0" borderId="7" xfId="1" applyFont="1" applyBorder="1"/>
    <xf numFmtId="0" fontId="10" fillId="0" borderId="7" xfId="0" applyFont="1" applyBorder="1" applyAlignment="1">
      <alignment horizontal="left" vertical="center" wrapText="1"/>
    </xf>
    <xf numFmtId="0" fontId="12" fillId="11" borderId="0" xfId="0" applyFont="1" applyFill="1" applyAlignment="1">
      <alignment horizontal="center" vertical="center"/>
    </xf>
    <xf numFmtId="44" fontId="13" fillId="0" borderId="0" xfId="1" applyFont="1" applyAlignment="1">
      <alignment horizontal="center" vertical="center"/>
    </xf>
    <xf numFmtId="14" fontId="7" fillId="7" borderId="2" xfId="0" applyNumberFormat="1" applyFont="1" applyFill="1" applyBorder="1" applyAlignment="1">
      <alignment horizontal="center"/>
    </xf>
    <xf numFmtId="14" fontId="7" fillId="5" borderId="2" xfId="0" applyNumberFormat="1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 wrapText="1"/>
    </xf>
    <xf numFmtId="0" fontId="7" fillId="0" borderId="7" xfId="0" applyFont="1" applyBorder="1"/>
    <xf numFmtId="14" fontId="0" fillId="2" borderId="0" xfId="0" applyNumberFormat="1" applyFill="1"/>
    <xf numFmtId="44" fontId="7" fillId="7" borderId="2" xfId="1" applyFont="1" applyFill="1" applyBorder="1" applyAlignment="1">
      <alignment horizontal="center"/>
    </xf>
    <xf numFmtId="0" fontId="7" fillId="6" borderId="2" xfId="0" applyFont="1" applyFill="1" applyBorder="1" applyAlignment="1">
      <alignment horizontal="left" vertical="center" wrapText="1"/>
    </xf>
    <xf numFmtId="44" fontId="7" fillId="6" borderId="2" xfId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49" fontId="7" fillId="6" borderId="2" xfId="1" applyNumberFormat="1" applyFont="1" applyFill="1" applyBorder="1" applyAlignment="1">
      <alignment horizontal="center" vertical="center"/>
    </xf>
    <xf numFmtId="0" fontId="21" fillId="0" borderId="0" xfId="0" applyFont="1"/>
    <xf numFmtId="0" fontId="22" fillId="0" borderId="10" xfId="0" applyFont="1" applyBorder="1"/>
    <xf numFmtId="44" fontId="22" fillId="0" borderId="10" xfId="1" applyFont="1" applyBorder="1"/>
    <xf numFmtId="14" fontId="7" fillId="6" borderId="2" xfId="0" applyNumberFormat="1" applyFont="1" applyFill="1" applyBorder="1"/>
    <xf numFmtId="8" fontId="7" fillId="6" borderId="2" xfId="0" applyNumberFormat="1" applyFont="1" applyFill="1" applyBorder="1"/>
    <xf numFmtId="2" fontId="22" fillId="0" borderId="10" xfId="0" applyNumberFormat="1" applyFont="1" applyBorder="1"/>
    <xf numFmtId="0" fontId="7" fillId="6" borderId="2" xfId="0" applyFont="1" applyFill="1" applyBorder="1" applyAlignment="1">
      <alignment wrapText="1"/>
    </xf>
    <xf numFmtId="0" fontId="7" fillId="6" borderId="11" xfId="0" applyFont="1" applyFill="1" applyBorder="1"/>
    <xf numFmtId="8" fontId="7" fillId="6" borderId="11" xfId="0" applyNumberFormat="1" applyFont="1" applyFill="1" applyBorder="1"/>
    <xf numFmtId="0" fontId="7" fillId="6" borderId="2" xfId="0" applyFont="1" applyFill="1" applyBorder="1" applyAlignment="1">
      <alignment horizontal="center" wrapText="1"/>
    </xf>
    <xf numFmtId="14" fontId="7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44" fontId="7" fillId="5" borderId="2" xfId="1" applyFont="1" applyFill="1" applyBorder="1" applyAlignment="1">
      <alignment horizontal="center" vertical="center"/>
    </xf>
    <xf numFmtId="14" fontId="7" fillId="5" borderId="2" xfId="0" applyNumberFormat="1" applyFont="1" applyFill="1" applyBorder="1" applyAlignment="1">
      <alignment vertical="center"/>
    </xf>
    <xf numFmtId="14" fontId="7" fillId="7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/>
    </xf>
    <xf numFmtId="44" fontId="7" fillId="5" borderId="2" xfId="1" applyFont="1" applyFill="1" applyBorder="1" applyAlignment="1">
      <alignment vertical="center"/>
    </xf>
    <xf numFmtId="0" fontId="7" fillId="5" borderId="2" xfId="0" applyFont="1" applyFill="1" applyBorder="1" applyAlignment="1">
      <alignment horizontal="left" vertical="center"/>
    </xf>
    <xf numFmtId="44" fontId="0" fillId="0" borderId="0" xfId="0" applyNumberFormat="1"/>
    <xf numFmtId="0" fontId="7" fillId="5" borderId="11" xfId="0" applyFont="1" applyFill="1" applyBorder="1"/>
    <xf numFmtId="44" fontId="7" fillId="5" borderId="11" xfId="1" applyFont="1" applyFill="1" applyBorder="1"/>
    <xf numFmtId="0" fontId="7" fillId="7" borderId="11" xfId="0" applyFont="1" applyFill="1" applyBorder="1"/>
    <xf numFmtId="0" fontId="7" fillId="5" borderId="11" xfId="0" applyFont="1" applyFill="1" applyBorder="1" applyAlignment="1">
      <alignment wrapText="1"/>
    </xf>
    <xf numFmtId="0" fontId="7" fillId="5" borderId="0" xfId="0" applyFont="1" applyFill="1"/>
    <xf numFmtId="0" fontId="7" fillId="7" borderId="2" xfId="0" applyFont="1" applyFill="1" applyBorder="1" applyAlignment="1">
      <alignment vertical="center"/>
    </xf>
    <xf numFmtId="0" fontId="7" fillId="7" borderId="2" xfId="0" applyFont="1" applyFill="1" applyBorder="1" applyAlignment="1">
      <alignment vertical="center" wrapText="1"/>
    </xf>
    <xf numFmtId="44" fontId="7" fillId="7" borderId="2" xfId="1" applyFont="1" applyFill="1" applyBorder="1" applyAlignment="1">
      <alignment vertical="center"/>
    </xf>
    <xf numFmtId="0" fontId="7" fillId="6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6" borderId="12" xfId="0" applyFont="1" applyFill="1" applyBorder="1"/>
    <xf numFmtId="44" fontId="7" fillId="7" borderId="11" xfId="1" applyFont="1" applyFill="1" applyBorder="1"/>
    <xf numFmtId="0" fontId="7" fillId="0" borderId="0" xfId="0" applyFont="1"/>
    <xf numFmtId="0" fontId="3" fillId="8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44" fontId="19" fillId="3" borderId="7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7" fillId="8" borderId="10" xfId="0" applyFont="1" applyFill="1" applyBorder="1" applyAlignment="1">
      <alignment horizontal="center" vertical="center"/>
    </xf>
    <xf numFmtId="14" fontId="7" fillId="5" borderId="3" xfId="0" applyNumberFormat="1" applyFont="1" applyFill="1" applyBorder="1" applyAlignment="1">
      <alignment horizontal="center"/>
    </xf>
    <xf numFmtId="14" fontId="7" fillId="5" borderId="8" xfId="0" applyNumberFormat="1" applyFont="1" applyFill="1" applyBorder="1" applyAlignment="1">
      <alignment horizontal="center"/>
    </xf>
    <xf numFmtId="14" fontId="7" fillId="5" borderId="1" xfId="0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scheme val="none"/>
      </font>
      <numFmt numFmtId="19" formatCode="dd/mm/yy"/>
      <fill>
        <patternFill patternType="solid">
          <fgColor theme="6" tint="0.79998168889431442"/>
          <bgColor rgb="FFECECE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scheme val="none"/>
      </font>
      <numFmt numFmtId="19" formatCode="dd/mm/yy"/>
      <fill>
        <patternFill patternType="solid">
          <fgColor theme="6" tint="0.79998168889431442"/>
          <bgColor rgb="FFECECE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Arial Nova"/>
        <scheme val="none"/>
      </font>
      <numFmt numFmtId="19" formatCode="dd/mm/yy"/>
      <fill>
        <patternFill patternType="solid">
          <fgColor theme="6" tint="0.79998168889431442"/>
          <bgColor rgb="FFECECE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scheme val="none"/>
      </font>
      <numFmt numFmtId="19" formatCode="dd/mm/yy"/>
      <fill>
        <patternFill patternType="solid">
          <fgColor theme="6" tint="0.79998168889431442"/>
          <bgColor rgb="FFECECE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scheme val="none"/>
      </font>
      <fill>
        <patternFill patternType="solid">
          <fgColor theme="6" tint="0.79998168889431442"/>
          <bgColor rgb="FFECECEC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ova"/>
        <scheme val="none"/>
      </font>
      <fill>
        <patternFill patternType="solid">
          <fgColor indexed="64"/>
          <bgColor rgb="FFB1B98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Light16"/>
  <colors>
    <mruColors>
      <color rgb="FFA9B087"/>
      <color rgb="FFA3AA81"/>
      <color rgb="FFECECEC"/>
      <color rgb="FFC9D1A1"/>
      <color rgb="FFBDC497"/>
      <color rgb="FFB1B98E"/>
      <color rgb="FFBCC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1" u="none" strike="noStrike" kern="1200" spc="0" baseline="0">
                <a:solidFill>
                  <a:srgbClr val="A9B087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s-MX" sz="3200" b="1" i="1">
                <a:solidFill>
                  <a:srgbClr val="A9B087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Resumen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1" u="none" strike="noStrike" kern="1200" spc="0" baseline="0">
              <a:solidFill>
                <a:srgbClr val="A9B087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018423994710585"/>
          <c:y val="0.21526270070333731"/>
          <c:w val="0.61538234056620789"/>
          <c:h val="0.717216073079833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44-F44E-8C91-DEEFE42F0525}"/>
              </c:ext>
            </c:extLst>
          </c:dPt>
          <c:dPt>
            <c:idx val="1"/>
            <c:bubble3D val="0"/>
            <c:spPr>
              <a:solidFill>
                <a:srgbClr val="A9B08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44-F44E-8C91-DEEFE42F0525}"/>
              </c:ext>
            </c:extLst>
          </c:dPt>
          <c:dPt>
            <c:idx val="2"/>
            <c:bubble3D val="0"/>
            <c:spPr>
              <a:solidFill>
                <a:srgbClr val="C9D1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44-F44E-8C91-DEEFE42F05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'Diciembre 2025'!$A$7:$A$8</c:f>
              <c:strCache>
                <c:ptCount val="2"/>
                <c:pt idx="0">
                  <c:v>TOTAL Ingresos</c:v>
                </c:pt>
                <c:pt idx="1">
                  <c:v>TOTAL Egresos</c:v>
                </c:pt>
              </c:strCache>
            </c:strRef>
          </c:cat>
          <c:val>
            <c:numRef>
              <c:f>'Diciembre 2025'!$B$7:$B$8</c:f>
              <c:numCache>
                <c:formatCode>_("$"* #,##0.00_);_("$"* \(#,##0.00\);_("$"* "-"??_);_(@_)</c:formatCode>
                <c:ptCount val="2"/>
                <c:pt idx="0">
                  <c:v>26420</c:v>
                </c:pt>
                <c:pt idx="1">
                  <c:v>8460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44-F44E-8C91-DEEFE42F052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1" u="none" strike="noStrike" kern="1200" spc="0" baseline="0">
                <a:solidFill>
                  <a:srgbClr val="A9B087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s-MX" sz="3600" b="1" i="1">
                <a:solidFill>
                  <a:srgbClr val="A9B087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Ingresos por servicios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1" u="none" strike="noStrike" kern="1200" spc="0" baseline="0">
              <a:solidFill>
                <a:srgbClr val="A9B087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9238267499918765E-2"/>
          <c:y val="0.21412422817651391"/>
          <c:w val="0.58828602064356816"/>
          <c:h val="0.7692157140429388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F4-D344-A2F8-D5B6C803E37A}"/>
              </c:ext>
            </c:extLst>
          </c:dPt>
          <c:dPt>
            <c:idx val="1"/>
            <c:bubble3D val="0"/>
            <c:spPr>
              <a:solidFill>
                <a:schemeClr val="accent3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F4-D344-A2F8-D5B6C803E37A}"/>
              </c:ext>
            </c:extLst>
          </c:dPt>
          <c:dPt>
            <c:idx val="2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F4-D344-A2F8-D5B6C803E37A}"/>
              </c:ext>
            </c:extLst>
          </c:dPt>
          <c:dPt>
            <c:idx val="3"/>
            <c:bubble3D val="0"/>
            <c:spPr>
              <a:solidFill>
                <a:schemeClr val="accent3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F4-D344-A2F8-D5B6C803E37A}"/>
              </c:ext>
            </c:extLst>
          </c:dPt>
          <c:dPt>
            <c:idx val="4"/>
            <c:bubble3D val="0"/>
            <c:spPr>
              <a:solidFill>
                <a:schemeClr val="accent3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F4-D344-A2F8-D5B6C803E37A}"/>
              </c:ext>
            </c:extLst>
          </c:dPt>
          <c:dPt>
            <c:idx val="5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F4-D344-A2F8-D5B6C803E37A}"/>
              </c:ext>
            </c:extLst>
          </c:dPt>
          <c:dPt>
            <c:idx val="6"/>
            <c:bubble3D val="0"/>
            <c:spPr>
              <a:solidFill>
                <a:schemeClr val="accent3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8F4-D344-A2F8-D5B6C803E37A}"/>
              </c:ext>
            </c:extLst>
          </c:dPt>
          <c:dPt>
            <c:idx val="7"/>
            <c:bubble3D val="0"/>
            <c:spPr>
              <a:solidFill>
                <a:schemeClr val="accent3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8F4-D344-A2F8-D5B6C803E37A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'Diciembre 2025'!$D$5:$D$12</c:f>
              <c:strCache>
                <c:ptCount val="8"/>
                <c:pt idx="0">
                  <c:v>Limpieza profunda</c:v>
                </c:pt>
                <c:pt idx="1">
                  <c:v>Anti-acné</c:v>
                </c:pt>
                <c:pt idx="2">
                  <c:v>Depilación láser</c:v>
                </c:pt>
                <c:pt idx="3">
                  <c:v>Facial despigmentante</c:v>
                </c:pt>
                <c:pt idx="4">
                  <c:v>Dermapen</c:v>
                </c:pt>
                <c:pt idx="5">
                  <c:v>Lifting facial</c:v>
                </c:pt>
                <c:pt idx="6">
                  <c:v>Producto cosme</c:v>
                </c:pt>
                <c:pt idx="7">
                  <c:v>Otro</c:v>
                </c:pt>
              </c:strCache>
            </c:strRef>
          </c:cat>
          <c:val>
            <c:numRef>
              <c:f>'Diciembre 2025'!$E$5:$E$12</c:f>
              <c:numCache>
                <c:formatCode>_("$"* #,##0.00_);_("$"* \(#,##0.00\);_("$"* "-"??_);_(@_)</c:formatCode>
                <c:ptCount val="8"/>
                <c:pt idx="0">
                  <c:v>9850</c:v>
                </c:pt>
                <c:pt idx="1">
                  <c:v>700</c:v>
                </c:pt>
                <c:pt idx="2">
                  <c:v>3870</c:v>
                </c:pt>
                <c:pt idx="3">
                  <c:v>1200</c:v>
                </c:pt>
                <c:pt idx="4">
                  <c:v>600</c:v>
                </c:pt>
                <c:pt idx="5">
                  <c:v>0</c:v>
                </c:pt>
                <c:pt idx="6">
                  <c:v>3660</c:v>
                </c:pt>
                <c:pt idx="7">
                  <c:v>4890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8F4-D344-A2F8-D5B6C803E37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1" u="none" strike="noStrike" kern="1200" spc="0" baseline="0">
                <a:solidFill>
                  <a:srgbClr val="A9B087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s-MX" sz="3200" b="1" i="1">
                <a:solidFill>
                  <a:srgbClr val="A9B087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Resumen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1" u="none" strike="noStrike" kern="1200" spc="0" baseline="0">
              <a:solidFill>
                <a:srgbClr val="A9B087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018423994710585"/>
          <c:y val="0.21526270070333731"/>
          <c:w val="0.61538234056620789"/>
          <c:h val="0.717216073079833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27-0F41-A528-42DEA3FDAF8C}"/>
              </c:ext>
            </c:extLst>
          </c:dPt>
          <c:dPt>
            <c:idx val="1"/>
            <c:bubble3D val="0"/>
            <c:spPr>
              <a:solidFill>
                <a:srgbClr val="A9B08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27-0F41-A528-42DEA3FDAF8C}"/>
              </c:ext>
            </c:extLst>
          </c:dPt>
          <c:dPt>
            <c:idx val="2"/>
            <c:bubble3D val="0"/>
            <c:spPr>
              <a:solidFill>
                <a:srgbClr val="C9D1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27-0F41-A528-42DEA3FDAF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'Noviembre 2025'!$A$7:$A$8</c:f>
              <c:strCache>
                <c:ptCount val="2"/>
                <c:pt idx="0">
                  <c:v>TOTAL Ingresos</c:v>
                </c:pt>
                <c:pt idx="1">
                  <c:v>TOTAL Egresos</c:v>
                </c:pt>
              </c:strCache>
            </c:strRef>
          </c:cat>
          <c:val>
            <c:numRef>
              <c:f>'Noviembre 2025'!$B$7:$B$8</c:f>
              <c:numCache>
                <c:formatCode>_("$"* #,##0.00_);_("$"* \(#,##0.00\);_("$"* "-"??_);_(@_)</c:formatCode>
                <c:ptCount val="2"/>
                <c:pt idx="0">
                  <c:v>20680</c:v>
                </c:pt>
                <c:pt idx="1">
                  <c:v>15050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27-0F41-A528-42DEA3FDAF8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1" u="none" strike="noStrike" kern="1200" spc="0" baseline="0">
                <a:solidFill>
                  <a:srgbClr val="A9B087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s-MX" sz="3600" b="1" i="1">
                <a:solidFill>
                  <a:srgbClr val="A9B087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Ingresos por servicios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1" u="none" strike="noStrike" kern="1200" spc="0" baseline="0">
              <a:solidFill>
                <a:srgbClr val="A9B087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9238267499918765E-2"/>
          <c:y val="0.21412422817651391"/>
          <c:w val="0.58828602064356816"/>
          <c:h val="0.7692157140429388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B6-6740-BCC8-9F41F52CDBDE}"/>
              </c:ext>
            </c:extLst>
          </c:dPt>
          <c:dPt>
            <c:idx val="1"/>
            <c:bubble3D val="0"/>
            <c:spPr>
              <a:solidFill>
                <a:schemeClr val="accent3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B6-6740-BCC8-9F41F52CDBDE}"/>
              </c:ext>
            </c:extLst>
          </c:dPt>
          <c:dPt>
            <c:idx val="2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B6-6740-BCC8-9F41F52CDBDE}"/>
              </c:ext>
            </c:extLst>
          </c:dPt>
          <c:dPt>
            <c:idx val="3"/>
            <c:bubble3D val="0"/>
            <c:spPr>
              <a:solidFill>
                <a:schemeClr val="accent3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B6-6740-BCC8-9F41F52CDBDE}"/>
              </c:ext>
            </c:extLst>
          </c:dPt>
          <c:dPt>
            <c:idx val="4"/>
            <c:bubble3D val="0"/>
            <c:spPr>
              <a:solidFill>
                <a:schemeClr val="accent3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B6-6740-BCC8-9F41F52CDBDE}"/>
              </c:ext>
            </c:extLst>
          </c:dPt>
          <c:dPt>
            <c:idx val="5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5B6-6740-BCC8-9F41F52CDBDE}"/>
              </c:ext>
            </c:extLst>
          </c:dPt>
          <c:dPt>
            <c:idx val="6"/>
            <c:bubble3D val="0"/>
            <c:spPr>
              <a:solidFill>
                <a:schemeClr val="accent3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5B6-6740-BCC8-9F41F52CDBDE}"/>
              </c:ext>
            </c:extLst>
          </c:dPt>
          <c:dPt>
            <c:idx val="7"/>
            <c:bubble3D val="0"/>
            <c:spPr>
              <a:solidFill>
                <a:schemeClr val="accent3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5B6-6740-BCC8-9F41F52CDBDE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'Noviembre 2025'!$D$5:$D$12</c:f>
              <c:strCache>
                <c:ptCount val="8"/>
                <c:pt idx="0">
                  <c:v>Limpieza profunda</c:v>
                </c:pt>
                <c:pt idx="1">
                  <c:v>Anti-acné</c:v>
                </c:pt>
                <c:pt idx="2">
                  <c:v>Depilación láser</c:v>
                </c:pt>
                <c:pt idx="3">
                  <c:v>Facial despigmentante</c:v>
                </c:pt>
                <c:pt idx="4">
                  <c:v>Dermapen</c:v>
                </c:pt>
                <c:pt idx="5">
                  <c:v>Lifting facial</c:v>
                </c:pt>
                <c:pt idx="6">
                  <c:v>Producto cosme</c:v>
                </c:pt>
                <c:pt idx="7">
                  <c:v>Otro</c:v>
                </c:pt>
              </c:strCache>
            </c:strRef>
          </c:cat>
          <c:val>
            <c:numRef>
              <c:f>'Noviembre 2025'!$E$5:$E$12</c:f>
              <c:numCache>
                <c:formatCode>_("$"* #,##0.00_);_("$"* \(#,##0.00\);_("$"* "-"??_);_(@_)</c:formatCode>
                <c:ptCount val="8"/>
                <c:pt idx="0">
                  <c:v>12130</c:v>
                </c:pt>
                <c:pt idx="1">
                  <c:v>700</c:v>
                </c:pt>
                <c:pt idx="2">
                  <c:v>2930</c:v>
                </c:pt>
                <c:pt idx="3">
                  <c:v>600</c:v>
                </c:pt>
                <c:pt idx="4">
                  <c:v>0</c:v>
                </c:pt>
                <c:pt idx="5">
                  <c:v>0</c:v>
                </c:pt>
                <c:pt idx="6">
                  <c:v>1750</c:v>
                </c:pt>
                <c:pt idx="7">
                  <c:v>2570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5B6-6740-BCC8-9F41F52CDBD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1" u="none" strike="noStrike" kern="1200" spc="0" baseline="0">
                <a:solidFill>
                  <a:srgbClr val="A9B087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s-MX" sz="3200" b="1" i="1">
                <a:solidFill>
                  <a:srgbClr val="A9B087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Resumen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1" u="none" strike="noStrike" kern="1200" spc="0" baseline="0">
              <a:solidFill>
                <a:srgbClr val="A9B087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018423994710585"/>
          <c:y val="0.21526270070333731"/>
          <c:w val="0.61538234056620789"/>
          <c:h val="0.717216073079833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24-F249-AD78-532F327215E0}"/>
              </c:ext>
            </c:extLst>
          </c:dPt>
          <c:dPt>
            <c:idx val="1"/>
            <c:bubble3D val="0"/>
            <c:spPr>
              <a:solidFill>
                <a:srgbClr val="A9B08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24-F249-AD78-532F327215E0}"/>
              </c:ext>
            </c:extLst>
          </c:dPt>
          <c:dPt>
            <c:idx val="2"/>
            <c:bubble3D val="0"/>
            <c:spPr>
              <a:solidFill>
                <a:srgbClr val="C9D1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24-F249-AD78-532F327215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'Octubre 2025'!$A$7:$A$8</c:f>
              <c:strCache>
                <c:ptCount val="2"/>
                <c:pt idx="0">
                  <c:v>TOTAL Ingresos</c:v>
                </c:pt>
                <c:pt idx="1">
                  <c:v>TOTAL Egresos</c:v>
                </c:pt>
              </c:strCache>
            </c:strRef>
          </c:cat>
          <c:val>
            <c:numRef>
              <c:f>'Octubre 2025'!$B$7:$B$8</c:f>
              <c:numCache>
                <c:formatCode>_("$"* #,##0.00_);_("$"* \(#,##0.00\);_("$"* "-"??_);_(@_)</c:formatCode>
                <c:ptCount val="2"/>
                <c:pt idx="0">
                  <c:v>21300</c:v>
                </c:pt>
                <c:pt idx="1">
                  <c:v>22244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4-F249-AD78-532F327215E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1" u="none" strike="noStrike" kern="1200" spc="0" baseline="0">
                <a:solidFill>
                  <a:srgbClr val="A9B087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s-MX" sz="3600" b="1" i="1">
                <a:solidFill>
                  <a:srgbClr val="A9B087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Ingresos por servicios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1" u="none" strike="noStrike" kern="1200" spc="0" baseline="0">
              <a:solidFill>
                <a:srgbClr val="A9B087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9238267499918765E-2"/>
          <c:y val="0.21412422817651391"/>
          <c:w val="0.58828602064356816"/>
          <c:h val="0.7692157140429388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8B-2F4A-963F-10F127B2F393}"/>
              </c:ext>
            </c:extLst>
          </c:dPt>
          <c:dPt>
            <c:idx val="1"/>
            <c:bubble3D val="0"/>
            <c:spPr>
              <a:solidFill>
                <a:schemeClr val="accent3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8B-2F4A-963F-10F127B2F393}"/>
              </c:ext>
            </c:extLst>
          </c:dPt>
          <c:dPt>
            <c:idx val="2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8B-2F4A-963F-10F127B2F393}"/>
              </c:ext>
            </c:extLst>
          </c:dPt>
          <c:dPt>
            <c:idx val="3"/>
            <c:bubble3D val="0"/>
            <c:spPr>
              <a:solidFill>
                <a:schemeClr val="accent3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8B-2F4A-963F-10F127B2F393}"/>
              </c:ext>
            </c:extLst>
          </c:dPt>
          <c:dPt>
            <c:idx val="4"/>
            <c:bubble3D val="0"/>
            <c:spPr>
              <a:solidFill>
                <a:schemeClr val="accent3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B8B-2F4A-963F-10F127B2F393}"/>
              </c:ext>
            </c:extLst>
          </c:dPt>
          <c:dPt>
            <c:idx val="5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B8B-2F4A-963F-10F127B2F393}"/>
              </c:ext>
            </c:extLst>
          </c:dPt>
          <c:dPt>
            <c:idx val="6"/>
            <c:bubble3D val="0"/>
            <c:spPr>
              <a:solidFill>
                <a:schemeClr val="accent3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B8B-2F4A-963F-10F127B2F393}"/>
              </c:ext>
            </c:extLst>
          </c:dPt>
          <c:dPt>
            <c:idx val="7"/>
            <c:bubble3D val="0"/>
            <c:spPr>
              <a:solidFill>
                <a:schemeClr val="accent3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B8B-2F4A-963F-10F127B2F393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'Octubre 2025'!$D$5:$D$12</c:f>
              <c:strCache>
                <c:ptCount val="8"/>
                <c:pt idx="0">
                  <c:v>Limpieza profunda</c:v>
                </c:pt>
                <c:pt idx="1">
                  <c:v>Anti-acné</c:v>
                </c:pt>
                <c:pt idx="2">
                  <c:v>Depilación láser</c:v>
                </c:pt>
                <c:pt idx="3">
                  <c:v>Facial despigmentante</c:v>
                </c:pt>
                <c:pt idx="4">
                  <c:v>Dermapen</c:v>
                </c:pt>
                <c:pt idx="5">
                  <c:v>Lifting facial</c:v>
                </c:pt>
                <c:pt idx="6">
                  <c:v>Producto cosme</c:v>
                </c:pt>
                <c:pt idx="7">
                  <c:v>Otro</c:v>
                </c:pt>
              </c:strCache>
            </c:strRef>
          </c:cat>
          <c:val>
            <c:numRef>
              <c:f>'Octubre 2025'!$E$5:$E$12</c:f>
              <c:numCache>
                <c:formatCode>_("$"* #,##0.00_);_("$"* \(#,##0.00\);_("$"* "-"??_);_(@_)</c:formatCode>
                <c:ptCount val="8"/>
                <c:pt idx="0">
                  <c:v>13550</c:v>
                </c:pt>
                <c:pt idx="1">
                  <c:v>2100</c:v>
                </c:pt>
                <c:pt idx="2">
                  <c:v>4030</c:v>
                </c:pt>
                <c:pt idx="3">
                  <c:v>600</c:v>
                </c:pt>
                <c:pt idx="4">
                  <c:v>0</c:v>
                </c:pt>
                <c:pt idx="5">
                  <c:v>0</c:v>
                </c:pt>
                <c:pt idx="6">
                  <c:v>870</c:v>
                </c:pt>
                <c:pt idx="7">
                  <c:v>2950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B8B-2F4A-963F-10F127B2F39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1" u="none" strike="noStrike" kern="1200" spc="0" baseline="0">
                <a:solidFill>
                  <a:srgbClr val="A9B087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s-MX" sz="3200" b="1" i="1">
                <a:solidFill>
                  <a:srgbClr val="A9B087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Resumen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1" u="none" strike="noStrike" kern="1200" spc="0" baseline="0">
              <a:solidFill>
                <a:srgbClr val="A9B087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018423994710585"/>
          <c:y val="0.21526270070333731"/>
          <c:w val="0.61538234056620789"/>
          <c:h val="0.717216073079833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39-184F-802E-A6F51F4307AE}"/>
              </c:ext>
            </c:extLst>
          </c:dPt>
          <c:dPt>
            <c:idx val="1"/>
            <c:bubble3D val="0"/>
            <c:spPr>
              <a:solidFill>
                <a:srgbClr val="A9B08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39-184F-802E-A6F51F4307AE}"/>
              </c:ext>
            </c:extLst>
          </c:dPt>
          <c:dPt>
            <c:idx val="2"/>
            <c:bubble3D val="0"/>
            <c:spPr>
              <a:solidFill>
                <a:srgbClr val="C9D1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39-184F-802E-A6F51F4307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'Septiembre 2025'!$A$7:$A$8</c:f>
              <c:strCache>
                <c:ptCount val="2"/>
                <c:pt idx="0">
                  <c:v>TOTAL Ingresos</c:v>
                </c:pt>
                <c:pt idx="1">
                  <c:v>TOTAL Egresos</c:v>
                </c:pt>
              </c:strCache>
            </c:strRef>
          </c:cat>
          <c:val>
            <c:numRef>
              <c:f>'Septiembre 2025'!$B$7:$B$8</c:f>
              <c:numCache>
                <c:formatCode>_("$"* #,##0.00_);_("$"* \(#,##0.00\);_("$"* "-"??_);_(@_)</c:formatCode>
                <c:ptCount val="2"/>
                <c:pt idx="0">
                  <c:v>30080</c:v>
                </c:pt>
                <c:pt idx="1">
                  <c:v>15580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39-184F-802E-A6F51F4307A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1" u="none" strike="noStrike" kern="1200" spc="0" baseline="0">
                <a:solidFill>
                  <a:srgbClr val="A9B087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s-MX" sz="3600" b="1" i="1">
                <a:solidFill>
                  <a:srgbClr val="A9B087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Ingresos por servicios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1" u="none" strike="noStrike" kern="1200" spc="0" baseline="0">
              <a:solidFill>
                <a:srgbClr val="A9B087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9238267499918765E-2"/>
          <c:y val="0.21412422817651391"/>
          <c:w val="0.58828602064356816"/>
          <c:h val="0.7692157140429388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B9-5748-80CD-6B151920ABC7}"/>
              </c:ext>
            </c:extLst>
          </c:dPt>
          <c:dPt>
            <c:idx val="1"/>
            <c:bubble3D val="0"/>
            <c:spPr>
              <a:solidFill>
                <a:schemeClr val="accent3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B9-5748-80CD-6B151920ABC7}"/>
              </c:ext>
            </c:extLst>
          </c:dPt>
          <c:dPt>
            <c:idx val="2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B9-5748-80CD-6B151920ABC7}"/>
              </c:ext>
            </c:extLst>
          </c:dPt>
          <c:dPt>
            <c:idx val="3"/>
            <c:bubble3D val="0"/>
            <c:spPr>
              <a:solidFill>
                <a:schemeClr val="accent3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B9-5748-80CD-6B151920ABC7}"/>
              </c:ext>
            </c:extLst>
          </c:dPt>
          <c:dPt>
            <c:idx val="4"/>
            <c:bubble3D val="0"/>
            <c:spPr>
              <a:solidFill>
                <a:schemeClr val="accent3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AB9-5748-80CD-6B151920ABC7}"/>
              </c:ext>
            </c:extLst>
          </c:dPt>
          <c:dPt>
            <c:idx val="5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AB9-5748-80CD-6B151920ABC7}"/>
              </c:ext>
            </c:extLst>
          </c:dPt>
          <c:dPt>
            <c:idx val="6"/>
            <c:bubble3D val="0"/>
            <c:spPr>
              <a:solidFill>
                <a:schemeClr val="accent3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AB9-5748-80CD-6B151920ABC7}"/>
              </c:ext>
            </c:extLst>
          </c:dPt>
          <c:dPt>
            <c:idx val="7"/>
            <c:bubble3D val="0"/>
            <c:spPr>
              <a:solidFill>
                <a:schemeClr val="accent3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AB9-5748-80CD-6B151920ABC7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'Septiembre 2025'!$D$5:$D$12</c:f>
              <c:strCache>
                <c:ptCount val="8"/>
                <c:pt idx="0">
                  <c:v>Limpieza profunda</c:v>
                </c:pt>
                <c:pt idx="1">
                  <c:v>Anti-acné</c:v>
                </c:pt>
                <c:pt idx="2">
                  <c:v>Depilación láser</c:v>
                </c:pt>
                <c:pt idx="3">
                  <c:v>Facial despigmentante</c:v>
                </c:pt>
                <c:pt idx="4">
                  <c:v>Dermapen</c:v>
                </c:pt>
                <c:pt idx="5">
                  <c:v>Lifting facial</c:v>
                </c:pt>
                <c:pt idx="6">
                  <c:v>Producto cosme</c:v>
                </c:pt>
                <c:pt idx="7">
                  <c:v>Otro</c:v>
                </c:pt>
              </c:strCache>
            </c:strRef>
          </c:cat>
          <c:val>
            <c:numRef>
              <c:f>'Septiembre 2025'!$E$5:$E$12</c:f>
              <c:numCache>
                <c:formatCode>_("$"* #,##0.00_);_("$"* \(#,##0.00\);_("$"* "-"??_);_(@_)</c:formatCode>
                <c:ptCount val="8"/>
                <c:pt idx="0">
                  <c:v>11550</c:v>
                </c:pt>
                <c:pt idx="1">
                  <c:v>2700</c:v>
                </c:pt>
                <c:pt idx="2">
                  <c:v>2400</c:v>
                </c:pt>
                <c:pt idx="3">
                  <c:v>600</c:v>
                </c:pt>
                <c:pt idx="4">
                  <c:v>1300</c:v>
                </c:pt>
                <c:pt idx="5">
                  <c:v>0</c:v>
                </c:pt>
                <c:pt idx="6">
                  <c:v>3290</c:v>
                </c:pt>
                <c:pt idx="7">
                  <c:v>7840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AB9-5748-80CD-6B151920ABC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1" u="none" strike="noStrike" kern="1200" spc="0" baseline="0">
                <a:solidFill>
                  <a:srgbClr val="A9B087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s-MX" sz="3200" b="1" i="1">
                <a:solidFill>
                  <a:srgbClr val="A9B087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Resumen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1" u="none" strike="noStrike" kern="1200" spc="0" baseline="0">
              <a:solidFill>
                <a:srgbClr val="A9B087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018423994710585"/>
          <c:y val="0.21526270070333731"/>
          <c:w val="0.61538234056620789"/>
          <c:h val="0.717216073079833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39-CB47-9BE7-8F0A7672E52E}"/>
              </c:ext>
            </c:extLst>
          </c:dPt>
          <c:dPt>
            <c:idx val="1"/>
            <c:bubble3D val="0"/>
            <c:spPr>
              <a:solidFill>
                <a:srgbClr val="A9B08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39-CB47-9BE7-8F0A7672E52E}"/>
              </c:ext>
            </c:extLst>
          </c:dPt>
          <c:dPt>
            <c:idx val="2"/>
            <c:bubble3D val="0"/>
            <c:spPr>
              <a:solidFill>
                <a:srgbClr val="C9D1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39-CB47-9BE7-8F0A7672E5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'Agosto 2025'!$A$7:$A$8</c:f>
              <c:strCache>
                <c:ptCount val="2"/>
                <c:pt idx="0">
                  <c:v>TOTAL Ingresos</c:v>
                </c:pt>
                <c:pt idx="1">
                  <c:v>TOTAL Egresos</c:v>
                </c:pt>
              </c:strCache>
            </c:strRef>
          </c:cat>
          <c:val>
            <c:numRef>
              <c:f>'Agosto 2025'!$B$7:$B$8</c:f>
              <c:numCache>
                <c:formatCode>_("$"* #,##0.00_);_("$"* \(#,##0.00\);_("$"* "-"??_);_(@_)</c:formatCode>
                <c:ptCount val="2"/>
                <c:pt idx="0">
                  <c:v>27270</c:v>
                </c:pt>
                <c:pt idx="1">
                  <c:v>19640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39-CB47-9BE7-8F0A7672E52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1" u="none" strike="noStrike" kern="1200" spc="0" baseline="0">
                <a:solidFill>
                  <a:srgbClr val="A9B087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s-MX" sz="3600" b="1" i="1">
                <a:solidFill>
                  <a:srgbClr val="A9B087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Ingresos por servicios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1" u="none" strike="noStrike" kern="1200" spc="0" baseline="0">
              <a:solidFill>
                <a:srgbClr val="A9B087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9238267499918765E-2"/>
          <c:y val="0.21412422817651391"/>
          <c:w val="0.58828602064356816"/>
          <c:h val="0.7692157140429388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FF-9343-BD0D-3479D7F0263F}"/>
              </c:ext>
            </c:extLst>
          </c:dPt>
          <c:dPt>
            <c:idx val="1"/>
            <c:bubble3D val="0"/>
            <c:spPr>
              <a:solidFill>
                <a:schemeClr val="accent3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FF-9343-BD0D-3479D7F0263F}"/>
              </c:ext>
            </c:extLst>
          </c:dPt>
          <c:dPt>
            <c:idx val="2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FF-9343-BD0D-3479D7F0263F}"/>
              </c:ext>
            </c:extLst>
          </c:dPt>
          <c:dPt>
            <c:idx val="3"/>
            <c:bubble3D val="0"/>
            <c:spPr>
              <a:solidFill>
                <a:schemeClr val="accent3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FF-9343-BD0D-3479D7F0263F}"/>
              </c:ext>
            </c:extLst>
          </c:dPt>
          <c:dPt>
            <c:idx val="4"/>
            <c:bubble3D val="0"/>
            <c:spPr>
              <a:solidFill>
                <a:schemeClr val="accent3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FF-9343-BD0D-3479D7F0263F}"/>
              </c:ext>
            </c:extLst>
          </c:dPt>
          <c:dPt>
            <c:idx val="5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2FF-9343-BD0D-3479D7F0263F}"/>
              </c:ext>
            </c:extLst>
          </c:dPt>
          <c:dPt>
            <c:idx val="6"/>
            <c:bubble3D val="0"/>
            <c:spPr>
              <a:solidFill>
                <a:schemeClr val="accent3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2FF-9343-BD0D-3479D7F0263F}"/>
              </c:ext>
            </c:extLst>
          </c:dPt>
          <c:dPt>
            <c:idx val="7"/>
            <c:bubble3D val="0"/>
            <c:spPr>
              <a:solidFill>
                <a:schemeClr val="accent3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2FF-9343-BD0D-3479D7F0263F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'Agosto 2025'!$D$5:$D$12</c:f>
              <c:strCache>
                <c:ptCount val="8"/>
                <c:pt idx="0">
                  <c:v>Limpieza profunda</c:v>
                </c:pt>
                <c:pt idx="1">
                  <c:v>Anti-acné</c:v>
                </c:pt>
                <c:pt idx="2">
                  <c:v>Depilación láser</c:v>
                </c:pt>
                <c:pt idx="3">
                  <c:v>Facial despigmentante</c:v>
                </c:pt>
                <c:pt idx="4">
                  <c:v>Dermapen</c:v>
                </c:pt>
                <c:pt idx="5">
                  <c:v>Lifting facial</c:v>
                </c:pt>
                <c:pt idx="6">
                  <c:v>Producto cosme</c:v>
                </c:pt>
                <c:pt idx="7">
                  <c:v>Otro</c:v>
                </c:pt>
              </c:strCache>
            </c:strRef>
          </c:cat>
          <c:val>
            <c:numRef>
              <c:f>'Agosto 2025'!$E$5:$E$12</c:f>
              <c:numCache>
                <c:formatCode>_("$"* #,##0.00_);_("$"* \(#,##0.00\);_("$"* "-"??_);_(@_)</c:formatCode>
                <c:ptCount val="8"/>
                <c:pt idx="0">
                  <c:v>9480</c:v>
                </c:pt>
                <c:pt idx="1">
                  <c:v>3350</c:v>
                </c:pt>
                <c:pt idx="2">
                  <c:v>4390</c:v>
                </c:pt>
                <c:pt idx="3">
                  <c:v>0</c:v>
                </c:pt>
                <c:pt idx="4">
                  <c:v>1500</c:v>
                </c:pt>
                <c:pt idx="5">
                  <c:v>2800</c:v>
                </c:pt>
                <c:pt idx="6">
                  <c:v>2400</c:v>
                </c:pt>
                <c:pt idx="7">
                  <c:v>3350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FF-9343-BD0D-3479D7F0263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1" u="none" strike="noStrike" kern="1200" spc="0" baseline="0">
                <a:solidFill>
                  <a:srgbClr val="A9B087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s-MX" sz="3200" b="1" i="1">
                <a:solidFill>
                  <a:srgbClr val="A9B087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Resumen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1" u="none" strike="noStrike" kern="1200" spc="0" baseline="0">
              <a:solidFill>
                <a:srgbClr val="A9B087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018423994710585"/>
          <c:y val="0.21526270070333731"/>
          <c:w val="0.61538234056620789"/>
          <c:h val="0.717216073079833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CC-6C4B-BB0B-1D6C1F38E28F}"/>
              </c:ext>
            </c:extLst>
          </c:dPt>
          <c:dPt>
            <c:idx val="1"/>
            <c:bubble3D val="0"/>
            <c:spPr>
              <a:solidFill>
                <a:srgbClr val="A9B08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1D3-0E4B-840E-37742C650FDA}"/>
              </c:ext>
            </c:extLst>
          </c:dPt>
          <c:dPt>
            <c:idx val="2"/>
            <c:bubble3D val="0"/>
            <c:spPr>
              <a:solidFill>
                <a:srgbClr val="C9D1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D3-0E4B-840E-37742C650F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'Junio 2025'!$A$7:$A$8</c:f>
              <c:strCache>
                <c:ptCount val="2"/>
                <c:pt idx="0">
                  <c:v>TOTAL Ingresos</c:v>
                </c:pt>
                <c:pt idx="1">
                  <c:v>TOTAL Egresos</c:v>
                </c:pt>
              </c:strCache>
            </c:strRef>
          </c:cat>
          <c:val>
            <c:numRef>
              <c:f>'Junio 2025'!$B$7:$B$8</c:f>
              <c:numCache>
                <c:formatCode>_("$"* #,##0.00_);_("$"* \(#,##0.00\);_("$"* "-"??_);_(@_)</c:formatCode>
                <c:ptCount val="2"/>
                <c:pt idx="0">
                  <c:v>22970</c:v>
                </c:pt>
                <c:pt idx="1">
                  <c:v>18930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3-0E4B-840E-37742C650FD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1" u="none" strike="noStrike" kern="1200" spc="0" baseline="0">
                <a:solidFill>
                  <a:srgbClr val="A9B087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s-MX" sz="3600" b="1" i="1">
                <a:solidFill>
                  <a:srgbClr val="A9B087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Ingresos por servicios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1" u="none" strike="noStrike" kern="1200" spc="0" baseline="0">
              <a:solidFill>
                <a:srgbClr val="A9B087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9238267499918765E-2"/>
          <c:y val="0.21412422817651391"/>
          <c:w val="0.58828602064356816"/>
          <c:h val="0.7692157140429388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70-5A4F-A567-4843497023FD}"/>
              </c:ext>
            </c:extLst>
          </c:dPt>
          <c:dPt>
            <c:idx val="1"/>
            <c:bubble3D val="0"/>
            <c:spPr>
              <a:solidFill>
                <a:schemeClr val="accent3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4C-E349-B674-51E33FCD6B40}"/>
              </c:ext>
            </c:extLst>
          </c:dPt>
          <c:dPt>
            <c:idx val="2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54C-E349-B674-51E33FCD6B40}"/>
              </c:ext>
            </c:extLst>
          </c:dPt>
          <c:dPt>
            <c:idx val="3"/>
            <c:bubble3D val="0"/>
            <c:spPr>
              <a:solidFill>
                <a:schemeClr val="accent3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4C-E349-B674-51E33FCD6B40}"/>
              </c:ext>
            </c:extLst>
          </c:dPt>
          <c:dPt>
            <c:idx val="4"/>
            <c:bubble3D val="0"/>
            <c:spPr>
              <a:solidFill>
                <a:schemeClr val="accent3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A70-5A4F-A567-4843497023FD}"/>
              </c:ext>
            </c:extLst>
          </c:dPt>
          <c:dPt>
            <c:idx val="5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A70-5A4F-A567-4843497023FD}"/>
              </c:ext>
            </c:extLst>
          </c:dPt>
          <c:dPt>
            <c:idx val="6"/>
            <c:bubble3D val="0"/>
            <c:spPr>
              <a:solidFill>
                <a:schemeClr val="accent3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A70-5A4F-A567-4843497023FD}"/>
              </c:ext>
            </c:extLst>
          </c:dPt>
          <c:dPt>
            <c:idx val="7"/>
            <c:bubble3D val="0"/>
            <c:spPr>
              <a:solidFill>
                <a:schemeClr val="accent3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A70-5A4F-A567-4843497023FD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'Junio 2025'!$D$5:$D$12</c:f>
              <c:strCache>
                <c:ptCount val="8"/>
                <c:pt idx="0">
                  <c:v>Limpieza profunda</c:v>
                </c:pt>
                <c:pt idx="1">
                  <c:v>Anti-acné</c:v>
                </c:pt>
                <c:pt idx="2">
                  <c:v>Depilación láser</c:v>
                </c:pt>
                <c:pt idx="3">
                  <c:v>Facial despigmentante</c:v>
                </c:pt>
                <c:pt idx="4">
                  <c:v>Dermapen</c:v>
                </c:pt>
                <c:pt idx="5">
                  <c:v>Lifting facial</c:v>
                </c:pt>
                <c:pt idx="6">
                  <c:v>Producto cosme</c:v>
                </c:pt>
                <c:pt idx="7">
                  <c:v>Otro</c:v>
                </c:pt>
              </c:strCache>
            </c:strRef>
          </c:cat>
          <c:val>
            <c:numRef>
              <c:f>'Junio 2025'!$E$5:$E$12</c:f>
              <c:numCache>
                <c:formatCode>_("$"* #,##0.00_);_("$"* \(#,##0.00\);_("$"* "-"??_);_(@_)</c:formatCode>
                <c:ptCount val="8"/>
                <c:pt idx="0">
                  <c:v>5570</c:v>
                </c:pt>
                <c:pt idx="1">
                  <c:v>1900</c:v>
                </c:pt>
                <c:pt idx="2">
                  <c:v>2500</c:v>
                </c:pt>
                <c:pt idx="3">
                  <c:v>600</c:v>
                </c:pt>
                <c:pt idx="4">
                  <c:v>700</c:v>
                </c:pt>
                <c:pt idx="5">
                  <c:v>750</c:v>
                </c:pt>
                <c:pt idx="6">
                  <c:v>5850</c:v>
                </c:pt>
                <c:pt idx="7">
                  <c:v>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C-E349-B674-51E33FCD6B4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1" u="none" strike="noStrike" kern="1200" spc="0" baseline="0">
                <a:solidFill>
                  <a:srgbClr val="A3AA8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s-MX" sz="3200" b="1" i="1">
                <a:solidFill>
                  <a:srgbClr val="A3AA81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Venta por</a:t>
            </a:r>
            <a:r>
              <a:rPr lang="es-MX" sz="3200" b="1" i="1" baseline="0">
                <a:solidFill>
                  <a:srgbClr val="A3AA81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 mes</a:t>
            </a:r>
            <a:endParaRPr lang="es-MX" sz="3200" b="1" i="1">
              <a:solidFill>
                <a:srgbClr val="A3AA81"/>
              </a:solidFill>
              <a:latin typeface="Angsana New" panose="02020603050405020304" pitchFamily="18" charset="-34"/>
              <a:cs typeface="Angsana New" panose="02020603050405020304" pitchFamily="18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1" u="none" strike="noStrike" kern="1200" spc="0" baseline="0">
              <a:solidFill>
                <a:srgbClr val="A3AA8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9708881011387525E-2"/>
          <c:y val="0.17946564591334729"/>
          <c:w val="0.65000679695914509"/>
          <c:h val="0.7984585939808095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64-5D4C-9A64-27F3164335B9}"/>
              </c:ext>
            </c:extLst>
          </c:dPt>
          <c:dPt>
            <c:idx val="1"/>
            <c:bubble3D val="0"/>
            <c:spPr>
              <a:solidFill>
                <a:schemeClr val="accent3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64-5D4C-9A64-27F3164335B9}"/>
              </c:ext>
            </c:extLst>
          </c:dPt>
          <c:dPt>
            <c:idx val="2"/>
            <c:bubble3D val="0"/>
            <c:spPr>
              <a:solidFill>
                <a:schemeClr val="accent3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64-5D4C-9A64-27F3164335B9}"/>
              </c:ext>
            </c:extLst>
          </c:dPt>
          <c:dPt>
            <c:idx val="3"/>
            <c:bubble3D val="0"/>
            <c:spPr>
              <a:solidFill>
                <a:schemeClr val="accent3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764-5D4C-9A64-27F3164335B9}"/>
              </c:ext>
            </c:extLst>
          </c:dPt>
          <c:dPt>
            <c:idx val="4"/>
            <c:bubble3D val="0"/>
            <c:spPr>
              <a:solidFill>
                <a:schemeClr val="accent3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764-5D4C-9A64-27F3164335B9}"/>
              </c:ext>
            </c:extLst>
          </c:dPt>
          <c:dPt>
            <c:idx val="5"/>
            <c:bubble3D val="0"/>
            <c:spPr>
              <a:solidFill>
                <a:schemeClr val="accent3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26-8E4B-AAA1-53B1F9851FF5}"/>
              </c:ext>
            </c:extLst>
          </c:dPt>
          <c:dPt>
            <c:idx val="6"/>
            <c:bubble3D val="0"/>
            <c:spPr>
              <a:solidFill>
                <a:schemeClr val="accent3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764-5D4C-9A64-27F3164335B9}"/>
              </c:ext>
            </c:extLst>
          </c:dPt>
          <c:dPt>
            <c:idx val="7"/>
            <c:bubble3D val="0"/>
            <c:spPr>
              <a:solidFill>
                <a:schemeClr val="accent3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764-5D4C-9A64-27F3164335B9}"/>
              </c:ext>
            </c:extLst>
          </c:dPt>
          <c:dPt>
            <c:idx val="8"/>
            <c:bubble3D val="0"/>
            <c:spPr>
              <a:solidFill>
                <a:schemeClr val="accent3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764-5D4C-9A64-27F3164335B9}"/>
              </c:ext>
            </c:extLst>
          </c:dPt>
          <c:dPt>
            <c:idx val="9"/>
            <c:bubble3D val="0"/>
            <c:spPr>
              <a:solidFill>
                <a:schemeClr val="accent3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764-5D4C-9A64-27F3164335B9}"/>
              </c:ext>
            </c:extLst>
          </c:dPt>
          <c:dPt>
            <c:idx val="10"/>
            <c:bubble3D val="0"/>
            <c:spPr>
              <a:solidFill>
                <a:schemeClr val="accent3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764-5D4C-9A64-27F3164335B9}"/>
              </c:ext>
            </c:extLst>
          </c:dPt>
          <c:dPt>
            <c:idx val="11"/>
            <c:bubble3D val="0"/>
            <c:spPr>
              <a:solidFill>
                <a:schemeClr val="accent3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764-5D4C-9A64-27F3164335B9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26-8E4B-AAA1-53B1F9851F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'Ventas productos '!$D$2:$D$13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 </c:v>
                </c:pt>
                <c:pt idx="6">
                  <c:v>julio </c:v>
                </c:pt>
                <c:pt idx="7">
                  <c:v>agosto </c:v>
                </c:pt>
                <c:pt idx="8">
                  <c:v>septiembre 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'Ventas productos '!$E$2:$E$13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4150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6-8E4B-AAA1-53B1F9851FF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1" u="none" strike="noStrike" kern="1200" spc="0" baseline="0">
                <a:solidFill>
                  <a:srgbClr val="A3AA8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s-MX" sz="3000" b="1" i="1">
                <a:solidFill>
                  <a:srgbClr val="A3AA81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Venta</a:t>
            </a:r>
            <a:r>
              <a:rPr lang="es-MX" sz="3000" b="1" i="1" baseline="0">
                <a:solidFill>
                  <a:srgbClr val="A3AA81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 por producto</a:t>
            </a:r>
            <a:endParaRPr lang="es-MX" sz="3000" b="1" i="1">
              <a:solidFill>
                <a:srgbClr val="A3AA81"/>
              </a:solidFill>
              <a:latin typeface="Angsana New" panose="02020603050405020304" pitchFamily="18" charset="-34"/>
              <a:cs typeface="Angsana New" panose="02020603050405020304" pitchFamily="18" charset="-34"/>
            </a:endParaRPr>
          </a:p>
        </c:rich>
      </c:tx>
      <c:layout>
        <c:manualLayout>
          <c:xMode val="edge"/>
          <c:yMode val="edge"/>
          <c:x val="0.3196911816142158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1" u="none" strike="noStrike" kern="1200" spc="0" baseline="0">
              <a:solidFill>
                <a:srgbClr val="A3AA8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4.7519983620682299E-2"/>
          <c:y val="0.16218560539357502"/>
          <c:w val="0.57180249272741235"/>
          <c:h val="0.837814394606425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89-C640-9469-CD2906DEE59F}"/>
              </c:ext>
            </c:extLst>
          </c:dPt>
          <c:dPt>
            <c:idx val="1"/>
            <c:bubble3D val="0"/>
            <c:spPr>
              <a:solidFill>
                <a:schemeClr val="accent3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89-C640-9469-CD2906DEE59F}"/>
              </c:ext>
            </c:extLst>
          </c:dPt>
          <c:dPt>
            <c:idx val="2"/>
            <c:bubble3D val="0"/>
            <c:spPr>
              <a:solidFill>
                <a:schemeClr val="accent3">
                  <a:shade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89-C640-9469-CD2906DEE59F}"/>
              </c:ext>
            </c:extLst>
          </c:dPt>
          <c:dPt>
            <c:idx val="3"/>
            <c:bubble3D val="0"/>
            <c:spPr>
              <a:solidFill>
                <a:schemeClr val="accent3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89-C640-9469-CD2906DEE59F}"/>
              </c:ext>
            </c:extLst>
          </c:dPt>
          <c:dPt>
            <c:idx val="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89-C640-9469-CD2906DEE59F}"/>
              </c:ext>
            </c:extLst>
          </c:dPt>
          <c:dPt>
            <c:idx val="5"/>
            <c:bubble3D val="0"/>
            <c:spPr>
              <a:solidFill>
                <a:schemeClr val="accent3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89-C640-9469-CD2906DEE59F}"/>
              </c:ext>
            </c:extLst>
          </c:dPt>
          <c:dPt>
            <c:idx val="6"/>
            <c:bubble3D val="0"/>
            <c:spPr>
              <a:solidFill>
                <a:schemeClr val="accent3">
                  <a:tint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89-C640-9469-CD2906DEE59F}"/>
              </c:ext>
            </c:extLst>
          </c:dPt>
          <c:dPt>
            <c:idx val="7"/>
            <c:bubble3D val="0"/>
            <c:spPr>
              <a:solidFill>
                <a:schemeClr val="accent3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089-C640-9469-CD2906DEE59F}"/>
              </c:ext>
            </c:extLst>
          </c:dPt>
          <c:dPt>
            <c:idx val="8"/>
            <c:bubble3D val="0"/>
            <c:spPr>
              <a:solidFill>
                <a:schemeClr val="accent3">
                  <a:tint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089-C640-9469-CD2906DEE5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'Ventas productos '!$G$2:$G$10</c:f>
              <c:strCache>
                <c:ptCount val="9"/>
                <c:pt idx="0">
                  <c:v>Limpiador </c:v>
                </c:pt>
                <c:pt idx="1">
                  <c:v>Serum renovage piel madura</c:v>
                </c:pt>
                <c:pt idx="2">
                  <c:v>Antiage Silk y Roses contorno despigmentante</c:v>
                </c:pt>
                <c:pt idx="3">
                  <c:v>Fluido piel madura </c:v>
                </c:pt>
                <c:pt idx="4">
                  <c:v>Peroxido de benzolio y clindamicina</c:v>
                </c:pt>
                <c:pt idx="5">
                  <c:v>Desodorantes de alumbre</c:v>
                </c:pt>
                <c:pt idx="6">
                  <c:v>Pantalla oil free despigmentante</c:v>
                </c:pt>
                <c:pt idx="7">
                  <c:v>Pantalla oil free todo tipo de piel</c:v>
                </c:pt>
                <c:pt idx="8">
                  <c:v>Gel reafirmante facial</c:v>
                </c:pt>
              </c:strCache>
            </c:strRef>
          </c:cat>
          <c:val>
            <c:numRef>
              <c:f>'Ventas productos '!$H$2:$H$10</c:f>
              <c:numCache>
                <c:formatCode>_("$"* #,##0.00_);_("$"* \(#,##0.00\);_("$"* "-"??_);_(@_)</c:formatCode>
                <c:ptCount val="9"/>
                <c:pt idx="0">
                  <c:v>1300</c:v>
                </c:pt>
                <c:pt idx="1">
                  <c:v>0</c:v>
                </c:pt>
                <c:pt idx="2">
                  <c:v>0</c:v>
                </c:pt>
                <c:pt idx="3">
                  <c:v>1050</c:v>
                </c:pt>
                <c:pt idx="4">
                  <c:v>1200</c:v>
                </c:pt>
                <c:pt idx="5">
                  <c:v>0</c:v>
                </c:pt>
                <c:pt idx="6">
                  <c:v>600</c:v>
                </c:pt>
                <c:pt idx="7">
                  <c:v>600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D-B841-81E0-5CDBA1656ED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1" u="none" strike="noStrike" kern="1200" spc="0" baseline="0">
                <a:solidFill>
                  <a:srgbClr val="A3AA8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s-MX" sz="2000" b="1" i="1">
                <a:solidFill>
                  <a:srgbClr val="A3AA81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Monto invertido por</a:t>
            </a:r>
            <a:r>
              <a:rPr lang="es-MX" sz="2000" b="1" i="1" baseline="0">
                <a:solidFill>
                  <a:srgbClr val="A3AA81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 canal</a:t>
            </a:r>
            <a:endParaRPr lang="es-MX" sz="2000" b="1" i="1">
              <a:solidFill>
                <a:srgbClr val="A3AA81"/>
              </a:solidFill>
              <a:latin typeface="Angsana New" panose="02020603050405020304" pitchFamily="18" charset="-34"/>
              <a:cs typeface="Angsana New" panose="02020603050405020304" pitchFamily="18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1" u="none" strike="noStrike" kern="1200" spc="0" baseline="0">
              <a:solidFill>
                <a:srgbClr val="A3AA8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'Publicidad y marketing'!$D$8</c:f>
              <c:strCache>
                <c:ptCount val="1"/>
                <c:pt idx="0">
                  <c:v>Monto invertido</c:v>
                </c:pt>
              </c:strCache>
            </c:strRef>
          </c:tx>
          <c:spPr>
            <a:solidFill>
              <a:srgbClr val="A9B087"/>
            </a:solidFill>
            <a:ln>
              <a:noFill/>
            </a:ln>
            <a:effectLst/>
          </c:spPr>
          <c:invertIfNegative val="0"/>
          <c:cat>
            <c:strRef>
              <c:f>'Publicidad y marketing'!$B$9:$B$11</c:f>
              <c:strCache>
                <c:ptCount val="3"/>
                <c:pt idx="0">
                  <c:v>Facebook Ads</c:v>
                </c:pt>
                <c:pt idx="1">
                  <c:v>Facebook Ads</c:v>
                </c:pt>
                <c:pt idx="2">
                  <c:v>Facebook Ads</c:v>
                </c:pt>
              </c:strCache>
            </c:strRef>
          </c:cat>
          <c:val>
            <c:numRef>
              <c:f>'Publicidad y marketing'!$D$9:$D$11</c:f>
              <c:numCache>
                <c:formatCode>"$"#,##0.00_);[Red]\("$"#,##0.00\)</c:formatCode>
                <c:ptCount val="3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3-BA44-835F-606D738A0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48880"/>
        <c:axId val="7150592"/>
      </c:barChart>
      <c:catAx>
        <c:axId val="714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50592"/>
        <c:crosses val="autoZero"/>
        <c:auto val="1"/>
        <c:lblAlgn val="ctr"/>
        <c:lblOffset val="100"/>
        <c:noMultiLvlLbl val="0"/>
      </c:catAx>
      <c:valAx>
        <c:axId val="715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4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1" u="none" strike="noStrike" kern="1200" spc="0" baseline="0">
                <a:solidFill>
                  <a:srgbClr val="A9B087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s-MX" sz="3200" b="1" i="1">
                <a:solidFill>
                  <a:srgbClr val="A9B087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Resumen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1" u="none" strike="noStrike" kern="1200" spc="0" baseline="0">
              <a:solidFill>
                <a:srgbClr val="A9B087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018423994710585"/>
          <c:y val="0.21526270070333731"/>
          <c:w val="0.61538234056620789"/>
          <c:h val="0.717216073079833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82-7143-86A0-718059CD8CE3}"/>
              </c:ext>
            </c:extLst>
          </c:dPt>
          <c:dPt>
            <c:idx val="1"/>
            <c:bubble3D val="0"/>
            <c:spPr>
              <a:solidFill>
                <a:srgbClr val="A9B08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2-7143-86A0-718059CD8CE3}"/>
              </c:ext>
            </c:extLst>
          </c:dPt>
          <c:dPt>
            <c:idx val="2"/>
            <c:bubble3D val="0"/>
            <c:spPr>
              <a:solidFill>
                <a:srgbClr val="C9D1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82-7143-86A0-718059CD8C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ALOYSAID!$A$7:$A$8</c:f>
              <c:strCache>
                <c:ptCount val="2"/>
                <c:pt idx="0">
                  <c:v>TOTAL Ingresos</c:v>
                </c:pt>
                <c:pt idx="1">
                  <c:v>TOTAL Egresos</c:v>
                </c:pt>
              </c:strCache>
            </c:strRef>
          </c:cat>
          <c:val>
            <c:numRef>
              <c:f>ALOYSAID!$B$7:$B$8</c:f>
              <c:numCache>
                <c:formatCode>_("$"* #,##0.00_);_("$"* \(#,##0.00\);_("$"* "-"??_);_(@_)</c:formatCode>
                <c:ptCount val="2"/>
                <c:pt idx="0">
                  <c:v>351700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82-7143-86A0-718059CD8CE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1" u="none" strike="noStrike" kern="1200" spc="0" baseline="0">
                <a:solidFill>
                  <a:srgbClr val="A9B087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s-MX" sz="3600" b="1" i="1">
                <a:solidFill>
                  <a:srgbClr val="A9B087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Ingresos por servicios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1" u="none" strike="noStrike" kern="1200" spc="0" baseline="0">
              <a:solidFill>
                <a:srgbClr val="A9B087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9238267499918765E-2"/>
          <c:y val="0.21412422817651391"/>
          <c:w val="0.58828602064356816"/>
          <c:h val="0.7692157140429388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BC-0849-B31C-05DF255717EE}"/>
              </c:ext>
            </c:extLst>
          </c:dPt>
          <c:dPt>
            <c:idx val="1"/>
            <c:bubble3D val="0"/>
            <c:spPr>
              <a:solidFill>
                <a:schemeClr val="accent3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BC-0849-B31C-05DF255717EE}"/>
              </c:ext>
            </c:extLst>
          </c:dPt>
          <c:dPt>
            <c:idx val="2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BC-0849-B31C-05DF255717EE}"/>
              </c:ext>
            </c:extLst>
          </c:dPt>
          <c:dPt>
            <c:idx val="3"/>
            <c:bubble3D val="0"/>
            <c:spPr>
              <a:solidFill>
                <a:schemeClr val="accent3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BC-0849-B31C-05DF255717EE}"/>
              </c:ext>
            </c:extLst>
          </c:dPt>
          <c:dPt>
            <c:idx val="4"/>
            <c:bubble3D val="0"/>
            <c:spPr>
              <a:solidFill>
                <a:schemeClr val="accent3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BC-0849-B31C-05DF255717EE}"/>
              </c:ext>
            </c:extLst>
          </c:dPt>
          <c:dPt>
            <c:idx val="5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4BC-0849-B31C-05DF255717EE}"/>
              </c:ext>
            </c:extLst>
          </c:dPt>
          <c:dPt>
            <c:idx val="6"/>
            <c:bubble3D val="0"/>
            <c:spPr>
              <a:solidFill>
                <a:schemeClr val="accent3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4BC-0849-B31C-05DF255717EE}"/>
              </c:ext>
            </c:extLst>
          </c:dPt>
          <c:dPt>
            <c:idx val="7"/>
            <c:bubble3D val="0"/>
            <c:spPr>
              <a:solidFill>
                <a:schemeClr val="accent3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4BC-0849-B31C-05DF255717EE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ALOYSAID!$D$5:$D$12</c:f>
              <c:strCache>
                <c:ptCount val="8"/>
                <c:pt idx="0">
                  <c:v>Limpieza profunda</c:v>
                </c:pt>
                <c:pt idx="1">
                  <c:v>Anti-acné</c:v>
                </c:pt>
                <c:pt idx="2">
                  <c:v>Depilación láser</c:v>
                </c:pt>
                <c:pt idx="3">
                  <c:v>Facial despigmentante</c:v>
                </c:pt>
                <c:pt idx="4">
                  <c:v>Dermapen</c:v>
                </c:pt>
                <c:pt idx="5">
                  <c:v>Lifting facial</c:v>
                </c:pt>
                <c:pt idx="6">
                  <c:v>Producto cosme</c:v>
                </c:pt>
                <c:pt idx="7">
                  <c:v>Otro</c:v>
                </c:pt>
              </c:strCache>
            </c:strRef>
          </c:cat>
          <c:val>
            <c:numRef>
              <c:f>ALOYSAID!$E$5:$E$12</c:f>
              <c:numCache>
                <c:formatCode>_("$"* #,##0.00_);_("$"* \(#,##0.00\);_("$"*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4BC-0849-B31C-05DF255717E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711200</xdr:colOff>
      <xdr:row>2</xdr:row>
      <xdr:rowOff>104710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D78E1C-9F67-2A44-881A-61482CC0C3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317" t="24385" r="6805" b="24765"/>
        <a:stretch/>
      </xdr:blipFill>
      <xdr:spPr>
        <a:xfrm>
          <a:off x="0" y="0"/>
          <a:ext cx="2209800" cy="1323910"/>
        </a:xfrm>
        <a:prstGeom prst="rect">
          <a:avLst/>
        </a:prstGeom>
      </xdr:spPr>
    </xdr:pic>
    <xdr:clientData/>
  </xdr:twoCellAnchor>
  <xdr:twoCellAnchor>
    <xdr:from>
      <xdr:col>5</xdr:col>
      <xdr:colOff>44450</xdr:colOff>
      <xdr:row>0</xdr:row>
      <xdr:rowOff>101600</xdr:rowOff>
    </xdr:from>
    <xdr:to>
      <xdr:col>8</xdr:col>
      <xdr:colOff>850900</xdr:colOff>
      <xdr:row>12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C7783D-8289-8E48-A13E-7BAAF49AD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933450</xdr:colOff>
      <xdr:row>0</xdr:row>
      <xdr:rowOff>101600</xdr:rowOff>
    </xdr:from>
    <xdr:to>
      <xdr:col>14</xdr:col>
      <xdr:colOff>1066800</xdr:colOff>
      <xdr:row>11</xdr:row>
      <xdr:rowOff>190500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600A6BC-08A4-824A-9120-272482270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711200</xdr:colOff>
      <xdr:row>2</xdr:row>
      <xdr:rowOff>104710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C0298C-33C7-7848-91D6-60894EC46F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317" t="24385" r="6805" b="24765"/>
        <a:stretch/>
      </xdr:blipFill>
      <xdr:spPr>
        <a:xfrm>
          <a:off x="0" y="0"/>
          <a:ext cx="2209800" cy="1323910"/>
        </a:xfrm>
        <a:prstGeom prst="rect">
          <a:avLst/>
        </a:prstGeom>
      </xdr:spPr>
    </xdr:pic>
    <xdr:clientData/>
  </xdr:twoCellAnchor>
  <xdr:twoCellAnchor>
    <xdr:from>
      <xdr:col>5</xdr:col>
      <xdr:colOff>44450</xdr:colOff>
      <xdr:row>0</xdr:row>
      <xdr:rowOff>101600</xdr:rowOff>
    </xdr:from>
    <xdr:to>
      <xdr:col>8</xdr:col>
      <xdr:colOff>850900</xdr:colOff>
      <xdr:row>12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54EE7A-8629-0343-A2D3-EEC466828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933450</xdr:colOff>
      <xdr:row>0</xdr:row>
      <xdr:rowOff>101600</xdr:rowOff>
    </xdr:from>
    <xdr:to>
      <xdr:col>14</xdr:col>
      <xdr:colOff>1066800</xdr:colOff>
      <xdr:row>11</xdr:row>
      <xdr:rowOff>190500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1160B4F-216D-774F-A8EF-9421D16F0E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711200</xdr:colOff>
      <xdr:row>2</xdr:row>
      <xdr:rowOff>104710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C0EC5D-65B5-AF45-876A-4979BF31D5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317" t="24385" r="6805" b="24765"/>
        <a:stretch/>
      </xdr:blipFill>
      <xdr:spPr>
        <a:xfrm>
          <a:off x="0" y="0"/>
          <a:ext cx="2209800" cy="1323910"/>
        </a:xfrm>
        <a:prstGeom prst="rect">
          <a:avLst/>
        </a:prstGeom>
      </xdr:spPr>
    </xdr:pic>
    <xdr:clientData/>
  </xdr:twoCellAnchor>
  <xdr:twoCellAnchor>
    <xdr:from>
      <xdr:col>5</xdr:col>
      <xdr:colOff>44450</xdr:colOff>
      <xdr:row>0</xdr:row>
      <xdr:rowOff>101600</xdr:rowOff>
    </xdr:from>
    <xdr:to>
      <xdr:col>8</xdr:col>
      <xdr:colOff>850900</xdr:colOff>
      <xdr:row>12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CA5DBE1-9C36-074B-9D94-F68F6753B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933450</xdr:colOff>
      <xdr:row>0</xdr:row>
      <xdr:rowOff>101600</xdr:rowOff>
    </xdr:from>
    <xdr:to>
      <xdr:col>14</xdr:col>
      <xdr:colOff>1066800</xdr:colOff>
      <xdr:row>11</xdr:row>
      <xdr:rowOff>190500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B12589B-4C62-1845-8276-852D1A3E8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711200</xdr:colOff>
      <xdr:row>2</xdr:row>
      <xdr:rowOff>104710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AEAB21-E1F8-5B49-B6D9-6F83D5B60B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317" t="24385" r="6805" b="24765"/>
        <a:stretch/>
      </xdr:blipFill>
      <xdr:spPr>
        <a:xfrm>
          <a:off x="0" y="0"/>
          <a:ext cx="2209800" cy="1323910"/>
        </a:xfrm>
        <a:prstGeom prst="rect">
          <a:avLst/>
        </a:prstGeom>
      </xdr:spPr>
    </xdr:pic>
    <xdr:clientData/>
  </xdr:twoCellAnchor>
  <xdr:twoCellAnchor>
    <xdr:from>
      <xdr:col>5</xdr:col>
      <xdr:colOff>44450</xdr:colOff>
      <xdr:row>0</xdr:row>
      <xdr:rowOff>101600</xdr:rowOff>
    </xdr:from>
    <xdr:to>
      <xdr:col>8</xdr:col>
      <xdr:colOff>850900</xdr:colOff>
      <xdr:row>12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52D186-B538-DB4B-84CA-D2EDC9A3C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933450</xdr:colOff>
      <xdr:row>0</xdr:row>
      <xdr:rowOff>101600</xdr:rowOff>
    </xdr:from>
    <xdr:to>
      <xdr:col>14</xdr:col>
      <xdr:colOff>1066800</xdr:colOff>
      <xdr:row>11</xdr:row>
      <xdr:rowOff>190500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F92E48-3CAA-7B40-9386-1D6728861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711200</xdr:colOff>
      <xdr:row>2</xdr:row>
      <xdr:rowOff>104710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C7AE38-6ED2-BB4B-9A3E-96C3B760B8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317" t="24385" r="6805" b="24765"/>
        <a:stretch/>
      </xdr:blipFill>
      <xdr:spPr>
        <a:xfrm>
          <a:off x="0" y="0"/>
          <a:ext cx="2209800" cy="1323910"/>
        </a:xfrm>
        <a:prstGeom prst="rect">
          <a:avLst/>
        </a:prstGeom>
      </xdr:spPr>
    </xdr:pic>
    <xdr:clientData/>
  </xdr:twoCellAnchor>
  <xdr:twoCellAnchor>
    <xdr:from>
      <xdr:col>5</xdr:col>
      <xdr:colOff>44450</xdr:colOff>
      <xdr:row>0</xdr:row>
      <xdr:rowOff>101600</xdr:rowOff>
    </xdr:from>
    <xdr:to>
      <xdr:col>8</xdr:col>
      <xdr:colOff>850900</xdr:colOff>
      <xdr:row>12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1EBAD95-51ED-7B4A-8CD1-A850A99BA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933450</xdr:colOff>
      <xdr:row>0</xdr:row>
      <xdr:rowOff>101600</xdr:rowOff>
    </xdr:from>
    <xdr:to>
      <xdr:col>14</xdr:col>
      <xdr:colOff>1066800</xdr:colOff>
      <xdr:row>11</xdr:row>
      <xdr:rowOff>190500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2F52E14-787B-3C46-AA9A-3283BEFA0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711200</xdr:colOff>
      <xdr:row>2</xdr:row>
      <xdr:rowOff>104710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4AEFBD-2E00-6309-487E-88D2AC531A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317" t="24385" r="6805" b="24765"/>
        <a:stretch/>
      </xdr:blipFill>
      <xdr:spPr>
        <a:xfrm>
          <a:off x="0" y="0"/>
          <a:ext cx="2209800" cy="1323910"/>
        </a:xfrm>
        <a:prstGeom prst="rect">
          <a:avLst/>
        </a:prstGeom>
      </xdr:spPr>
    </xdr:pic>
    <xdr:clientData/>
  </xdr:twoCellAnchor>
  <xdr:twoCellAnchor>
    <xdr:from>
      <xdr:col>5</xdr:col>
      <xdr:colOff>44450</xdr:colOff>
      <xdr:row>0</xdr:row>
      <xdr:rowOff>101600</xdr:rowOff>
    </xdr:from>
    <xdr:to>
      <xdr:col>8</xdr:col>
      <xdr:colOff>850900</xdr:colOff>
      <xdr:row>12</xdr:row>
      <xdr:rowOff>25400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FC40AEC-AC4A-AB3C-486B-B18F370C9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933450</xdr:colOff>
      <xdr:row>0</xdr:row>
      <xdr:rowOff>101600</xdr:rowOff>
    </xdr:from>
    <xdr:to>
      <xdr:col>14</xdr:col>
      <xdr:colOff>1066800</xdr:colOff>
      <xdr:row>11</xdr:row>
      <xdr:rowOff>190500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6F6567A-E44A-5A02-71F2-1B64C4B89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12700</xdr:rowOff>
    </xdr:from>
    <xdr:to>
      <xdr:col>2</xdr:col>
      <xdr:colOff>42069</xdr:colOff>
      <xdr:row>5</xdr:row>
      <xdr:rowOff>165100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6D8C41-A763-164D-90E9-DAD9C951A1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317" t="24385" r="6805" b="24765"/>
        <a:stretch/>
      </xdr:blipFill>
      <xdr:spPr>
        <a:xfrm>
          <a:off x="0" y="12700"/>
          <a:ext cx="2670969" cy="1600200"/>
        </a:xfrm>
        <a:prstGeom prst="rect">
          <a:avLst/>
        </a:prstGeom>
      </xdr:spPr>
    </xdr:pic>
    <xdr:clientData/>
  </xdr:twoCellAnchor>
  <xdr:twoCellAnchor>
    <xdr:from>
      <xdr:col>8</xdr:col>
      <xdr:colOff>133350</xdr:colOff>
      <xdr:row>0</xdr:row>
      <xdr:rowOff>6350</xdr:rowOff>
    </xdr:from>
    <xdr:to>
      <xdr:col>10</xdr:col>
      <xdr:colOff>2235200</xdr:colOff>
      <xdr:row>14</xdr:row>
      <xdr:rowOff>63500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1AB35D-6F69-3A0B-AFD1-5BEE5D31A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2368550</xdr:colOff>
      <xdr:row>0</xdr:row>
      <xdr:rowOff>0</xdr:rowOff>
    </xdr:from>
    <xdr:to>
      <xdr:col>17</xdr:col>
      <xdr:colOff>660400</xdr:colOff>
      <xdr:row>14</xdr:row>
      <xdr:rowOff>139700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53D84E0-8E69-9A2C-D0A9-2B17ACA5B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310647</xdr:colOff>
      <xdr:row>0</xdr:row>
      <xdr:rowOff>27410</xdr:rowOff>
    </xdr:from>
    <xdr:to>
      <xdr:col>1</xdr:col>
      <xdr:colOff>759534</xdr:colOff>
      <xdr:row>4</xdr:row>
      <xdr:rowOff>164460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952A14-97B3-5C4E-B841-8107500228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317" t="24385" r="6805" b="24765"/>
        <a:stretch/>
      </xdr:blipFill>
      <xdr:spPr>
        <a:xfrm>
          <a:off x="310647" y="27410"/>
          <a:ext cx="1499606" cy="90453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765829</xdr:colOff>
      <xdr:row>4</xdr:row>
      <xdr:rowOff>163993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DEB6E7-7A8B-0E41-B0A7-8F25E47970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317" t="24385" r="6805" b="24765"/>
        <a:stretch/>
      </xdr:blipFill>
      <xdr:spPr>
        <a:xfrm>
          <a:off x="0" y="0"/>
          <a:ext cx="1589875" cy="97834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824691</xdr:colOff>
      <xdr:row>4</xdr:row>
      <xdr:rowOff>133461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49407C-B1FA-A642-87AE-E2EFE56FBB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317" t="24385" r="6805" b="24765"/>
        <a:stretch/>
      </xdr:blipFill>
      <xdr:spPr>
        <a:xfrm>
          <a:off x="0" y="0"/>
          <a:ext cx="1499606" cy="904532"/>
        </a:xfrm>
        <a:prstGeom prst="rect">
          <a:avLst/>
        </a:prstGeom>
      </xdr:spPr>
    </xdr:pic>
    <xdr:clientData/>
  </xdr:twoCellAnchor>
  <xdr:twoCellAnchor>
    <xdr:from>
      <xdr:col>8</xdr:col>
      <xdr:colOff>68034</xdr:colOff>
      <xdr:row>0</xdr:row>
      <xdr:rowOff>0</xdr:rowOff>
    </xdr:from>
    <xdr:to>
      <xdr:col>12</xdr:col>
      <xdr:colOff>226785</xdr:colOff>
      <xdr:row>11</xdr:row>
      <xdr:rowOff>127000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5A3033E-51D7-FF83-8FC5-F7ADE515D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711200</xdr:colOff>
      <xdr:row>2</xdr:row>
      <xdr:rowOff>104710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D2AC9-9E37-1347-890D-AFCE872DD2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317" t="24385" r="6805" b="24765"/>
        <a:stretch/>
      </xdr:blipFill>
      <xdr:spPr>
        <a:xfrm>
          <a:off x="0" y="0"/>
          <a:ext cx="2209800" cy="1323910"/>
        </a:xfrm>
        <a:prstGeom prst="rect">
          <a:avLst/>
        </a:prstGeom>
      </xdr:spPr>
    </xdr:pic>
    <xdr:clientData/>
  </xdr:twoCellAnchor>
  <xdr:twoCellAnchor>
    <xdr:from>
      <xdr:col>5</xdr:col>
      <xdr:colOff>44450</xdr:colOff>
      <xdr:row>0</xdr:row>
      <xdr:rowOff>101600</xdr:rowOff>
    </xdr:from>
    <xdr:to>
      <xdr:col>8</xdr:col>
      <xdr:colOff>850900</xdr:colOff>
      <xdr:row>12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9ABF48F-01DC-7B45-A812-2773DC929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933450</xdr:colOff>
      <xdr:row>0</xdr:row>
      <xdr:rowOff>101600</xdr:rowOff>
    </xdr:from>
    <xdr:to>
      <xdr:col>14</xdr:col>
      <xdr:colOff>1066800</xdr:colOff>
      <xdr:row>11</xdr:row>
      <xdr:rowOff>190500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B59F693-5721-D742-A305-C2F3B26FC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E21" totalsRowShown="0" headerRowDxfId="6" dataDxfId="4" headerRowBorderDxfId="5">
  <autoFilter ref="B7:E21" xr:uid="{00000000-0009-0000-0100-000002000000}"/>
  <tableColumns count="4">
    <tableColumn id="1" xr3:uid="{00000000-0010-0000-0100-000001000000}" name="Concepto" dataDxfId="3"/>
    <tableColumn id="2" xr3:uid="{00000000-0010-0000-0100-000002000000}" name="Fecha Límite de Pago" dataDxfId="2"/>
    <tableColumn id="3" xr3:uid="{00000000-0010-0000-0100-000003000000}" name="Monto" dataDxfId="1" dataCellStyle="Moneda"/>
    <tableColumn id="4" xr3:uid="{78B5C124-4907-2242-8C2A-7B40E9B653AD}" name="E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DBC9-5752-9840-BF66-33BD19BF5F81}">
  <dimension ref="A1:V64"/>
  <sheetViews>
    <sheetView tabSelected="1" topLeftCell="A56" workbookViewId="0">
      <selection activeCell="E68" sqref="E68"/>
    </sheetView>
  </sheetViews>
  <sheetFormatPr baseColWidth="10" defaultRowHeight="15"/>
  <cols>
    <col min="1" max="1" width="19.6640625" customWidth="1"/>
    <col min="2" max="2" width="17.6640625" customWidth="1"/>
    <col min="3" max="3" width="18.6640625" bestFit="1" customWidth="1"/>
    <col min="4" max="4" width="22.1640625" style="8" customWidth="1"/>
    <col min="5" max="5" width="19.1640625" customWidth="1"/>
    <col min="6" max="6" width="21" customWidth="1"/>
    <col min="7" max="7" width="12.1640625" customWidth="1"/>
    <col min="9" max="9" width="14.33203125" customWidth="1"/>
    <col min="11" max="11" width="13" customWidth="1"/>
    <col min="12" max="13" width="3.1640625" customWidth="1"/>
    <col min="14" max="14" width="14.33203125" customWidth="1"/>
    <col min="15" max="15" width="19.1640625" customWidth="1"/>
    <col min="16" max="16" width="15.83203125" bestFit="1" customWidth="1"/>
    <col min="17" max="17" width="17.6640625" bestFit="1" customWidth="1"/>
    <col min="18" max="18" width="10.5" bestFit="1" customWidth="1"/>
  </cols>
  <sheetData>
    <row r="1" spans="1:21" ht="54" customHeight="1">
      <c r="A1" s="10"/>
      <c r="B1" s="10"/>
    </row>
    <row r="2" spans="1:21" ht="42" customHeight="1">
      <c r="A2" s="10"/>
      <c r="B2" s="10"/>
      <c r="E2" s="9"/>
    </row>
    <row r="3" spans="1:21">
      <c r="A3" s="6"/>
      <c r="B3" s="7"/>
    </row>
    <row r="4" spans="1:21" ht="42">
      <c r="A4" s="23" t="s">
        <v>75</v>
      </c>
      <c r="B4" s="24" t="s">
        <v>24</v>
      </c>
      <c r="D4" s="91" t="s">
        <v>86</v>
      </c>
      <c r="E4" s="91"/>
    </row>
    <row r="5" spans="1:21" ht="16">
      <c r="D5" s="26" t="s">
        <v>87</v>
      </c>
      <c r="E5" s="27">
        <f>SUMIF(C$15:C$196, "Limpieza profunda", J$15:J$1048576)</f>
        <v>9850</v>
      </c>
    </row>
    <row r="6" spans="1:21" ht="18">
      <c r="A6" s="92" t="s">
        <v>76</v>
      </c>
      <c r="B6" s="92"/>
      <c r="D6" s="26" t="s">
        <v>88</v>
      </c>
      <c r="E6" s="27">
        <f>SUMIF(C$15:C$196, "Anti-acné", J$15:J$1048576)</f>
        <v>700</v>
      </c>
    </row>
    <row r="7" spans="1:21" ht="18">
      <c r="A7" s="25" t="s">
        <v>82</v>
      </c>
      <c r="B7" s="33">
        <f>SUM(J16:J63)</f>
        <v>26420</v>
      </c>
      <c r="D7" s="26" t="s">
        <v>90</v>
      </c>
      <c r="E7" s="27">
        <f>SUMIF(C$15:C$196, "Depilación Láser", J$15:J$1048576)</f>
        <v>3870</v>
      </c>
    </row>
    <row r="8" spans="1:21" ht="18">
      <c r="A8" s="25" t="s">
        <v>83</v>
      </c>
      <c r="B8" s="33">
        <f>SUM(T16:T24)</f>
        <v>8460</v>
      </c>
      <c r="D8" s="26" t="s">
        <v>91</v>
      </c>
      <c r="E8" s="27">
        <f>SUMIF(C$15:C$196, "Facial despigmentante", J$15:J$1048576)</f>
        <v>1200</v>
      </c>
    </row>
    <row r="9" spans="1:21" ht="16">
      <c r="D9" s="26" t="s">
        <v>58</v>
      </c>
      <c r="E9" s="27">
        <f>SUMIF(C$15:C$196, "Dermapen", J$15:J$1048576)</f>
        <v>600</v>
      </c>
    </row>
    <row r="10" spans="1:21" ht="16">
      <c r="B10" s="77">
        <f>B7-B8</f>
        <v>17960</v>
      </c>
      <c r="D10" s="26" t="s">
        <v>92</v>
      </c>
      <c r="E10" s="27">
        <f>SUMIF(C$15:C$196, "Lifting facial", J$15:J$1048576)</f>
        <v>0</v>
      </c>
    </row>
    <row r="11" spans="1:21" ht="16">
      <c r="D11" s="26" t="s">
        <v>89</v>
      </c>
      <c r="E11" s="27">
        <f>SUMIF(C$15:C$196, "PRODUCTO", J$15:J$1048576)</f>
        <v>3660</v>
      </c>
    </row>
    <row r="12" spans="1:21" ht="16">
      <c r="D12" s="26" t="s">
        <v>98</v>
      </c>
      <c r="E12" s="27">
        <f>SUMIF(C$15:C$196, "Otro", J$15:J$1048576)</f>
        <v>4890</v>
      </c>
    </row>
    <row r="13" spans="1:21">
      <c r="E13" s="2"/>
    </row>
    <row r="14" spans="1:21" ht="32" customHeight="1">
      <c r="A14" s="93" t="s">
        <v>94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N14" s="94" t="s">
        <v>96</v>
      </c>
      <c r="O14" s="94"/>
      <c r="P14" s="94"/>
      <c r="Q14" s="94"/>
      <c r="R14" s="94"/>
      <c r="S14" s="94"/>
      <c r="T14" s="94"/>
      <c r="U14" s="94"/>
    </row>
    <row r="15" spans="1:21" ht="16">
      <c r="A15" s="12" t="s">
        <v>81</v>
      </c>
      <c r="B15" s="12" t="s">
        <v>78</v>
      </c>
      <c r="C15" s="12" t="s">
        <v>97</v>
      </c>
      <c r="D15" s="13" t="s">
        <v>77</v>
      </c>
      <c r="E15" s="12" t="s">
        <v>79</v>
      </c>
      <c r="F15" s="12" t="s">
        <v>80</v>
      </c>
      <c r="G15" s="12" t="s">
        <v>2</v>
      </c>
      <c r="H15" s="12" t="s">
        <v>1</v>
      </c>
      <c r="I15" s="12" t="s">
        <v>3</v>
      </c>
      <c r="J15" s="12" t="s">
        <v>4</v>
      </c>
      <c r="K15" s="12" t="s">
        <v>95</v>
      </c>
      <c r="N15" s="28" t="s">
        <v>81</v>
      </c>
      <c r="O15" s="28" t="s">
        <v>5</v>
      </c>
      <c r="P15" s="28" t="s">
        <v>79</v>
      </c>
      <c r="Q15" s="28" t="s">
        <v>80</v>
      </c>
      <c r="R15" s="28" t="s">
        <v>2</v>
      </c>
      <c r="S15" s="28" t="s">
        <v>1</v>
      </c>
      <c r="T15" s="28" t="s">
        <v>4</v>
      </c>
      <c r="U15" s="28" t="s">
        <v>95</v>
      </c>
    </row>
    <row r="16" spans="1:21">
      <c r="A16" s="14">
        <v>45992</v>
      </c>
      <c r="B16" s="15" t="s">
        <v>412</v>
      </c>
      <c r="C16" s="15" t="s">
        <v>91</v>
      </c>
      <c r="D16" s="16"/>
      <c r="E16" s="15" t="s">
        <v>8</v>
      </c>
      <c r="F16" s="15" t="s">
        <v>19</v>
      </c>
      <c r="G16" s="17">
        <f>J16-H16</f>
        <v>630</v>
      </c>
      <c r="H16" s="17">
        <f>J16*0.16</f>
        <v>120</v>
      </c>
      <c r="I16" s="17">
        <v>0</v>
      </c>
      <c r="J16" s="17">
        <v>750</v>
      </c>
      <c r="K16" s="18"/>
      <c r="N16" s="14">
        <v>45834</v>
      </c>
      <c r="O16" s="15" t="s">
        <v>261</v>
      </c>
      <c r="P16" s="15" t="s">
        <v>8</v>
      </c>
      <c r="Q16" s="15" t="s">
        <v>19</v>
      </c>
      <c r="R16" s="17">
        <f t="shared" ref="R16:R24" si="0">T16-S16</f>
        <v>294</v>
      </c>
      <c r="S16" s="17">
        <f t="shared" ref="S16:S24" si="1">T16*0.16</f>
        <v>56</v>
      </c>
      <c r="T16" s="17">
        <v>350</v>
      </c>
      <c r="U16" s="18">
        <v>350</v>
      </c>
    </row>
    <row r="17" spans="1:22">
      <c r="A17" s="14">
        <v>45992</v>
      </c>
      <c r="B17" s="20" t="s">
        <v>286</v>
      </c>
      <c r="C17" s="20" t="s">
        <v>99</v>
      </c>
      <c r="D17" s="21"/>
      <c r="E17" s="20" t="s">
        <v>189</v>
      </c>
      <c r="F17" s="20" t="s">
        <v>85</v>
      </c>
      <c r="G17" s="17"/>
      <c r="H17" s="17"/>
      <c r="I17" s="22"/>
      <c r="J17" s="22">
        <v>550</v>
      </c>
      <c r="K17" s="18"/>
      <c r="N17" s="19">
        <v>45998</v>
      </c>
      <c r="O17" s="20" t="s">
        <v>420</v>
      </c>
      <c r="P17" s="20" t="s">
        <v>84</v>
      </c>
      <c r="Q17" s="20" t="s">
        <v>19</v>
      </c>
      <c r="R17" s="22">
        <f t="shared" si="0"/>
        <v>6720</v>
      </c>
      <c r="S17" s="22">
        <f t="shared" si="1"/>
        <v>1280</v>
      </c>
      <c r="T17" s="22">
        <v>8000</v>
      </c>
      <c r="U17" s="18">
        <v>8000</v>
      </c>
    </row>
    <row r="18" spans="1:22">
      <c r="A18" s="14">
        <v>45992</v>
      </c>
      <c r="B18" s="15" t="s">
        <v>413</v>
      </c>
      <c r="C18" s="15" t="s">
        <v>99</v>
      </c>
      <c r="D18" s="16"/>
      <c r="E18" s="15" t="s">
        <v>8</v>
      </c>
      <c r="F18" s="15" t="s">
        <v>19</v>
      </c>
      <c r="G18" s="17"/>
      <c r="H18" s="17"/>
      <c r="I18" s="17"/>
      <c r="J18" s="17">
        <v>450</v>
      </c>
      <c r="K18" s="18"/>
      <c r="N18" s="19">
        <v>45998</v>
      </c>
      <c r="O18" s="15" t="s">
        <v>218</v>
      </c>
      <c r="P18" s="15" t="s">
        <v>84</v>
      </c>
      <c r="Q18" s="15" t="s">
        <v>19</v>
      </c>
      <c r="R18" s="17">
        <f t="shared" si="0"/>
        <v>92.4</v>
      </c>
      <c r="S18" s="17">
        <f t="shared" si="1"/>
        <v>17.600000000000001</v>
      </c>
      <c r="T18" s="17">
        <v>110</v>
      </c>
      <c r="U18" s="18"/>
    </row>
    <row r="19" spans="1:22">
      <c r="A19" s="14">
        <v>45996</v>
      </c>
      <c r="B19" s="15" t="s">
        <v>414</v>
      </c>
      <c r="C19" s="20" t="s">
        <v>99</v>
      </c>
      <c r="D19" s="21"/>
      <c r="E19" s="20" t="s">
        <v>84</v>
      </c>
      <c r="F19" s="20" t="s">
        <v>85</v>
      </c>
      <c r="G19" s="17"/>
      <c r="H19" s="17"/>
      <c r="I19" s="22"/>
      <c r="J19" s="22">
        <v>250</v>
      </c>
      <c r="K19" s="18"/>
      <c r="N19" s="14"/>
      <c r="O19" s="15"/>
      <c r="P19" s="15" t="s">
        <v>8</v>
      </c>
      <c r="Q19" s="15" t="s">
        <v>14</v>
      </c>
      <c r="R19" s="17">
        <f t="shared" si="0"/>
        <v>0</v>
      </c>
      <c r="S19" s="17">
        <f t="shared" si="1"/>
        <v>0</v>
      </c>
      <c r="T19" s="17"/>
      <c r="U19" s="18"/>
    </row>
    <row r="20" spans="1:22">
      <c r="A20" s="14">
        <v>45997</v>
      </c>
      <c r="B20" s="15" t="s">
        <v>192</v>
      </c>
      <c r="C20" s="15" t="s">
        <v>99</v>
      </c>
      <c r="D20" s="16"/>
      <c r="E20" s="15" t="s">
        <v>8</v>
      </c>
      <c r="F20" s="15" t="s">
        <v>19</v>
      </c>
      <c r="G20" s="17"/>
      <c r="H20" s="17"/>
      <c r="I20" s="17"/>
      <c r="J20" s="17">
        <v>570</v>
      </c>
      <c r="K20" s="18"/>
      <c r="N20" s="19"/>
      <c r="O20" s="20"/>
      <c r="P20" s="20" t="s">
        <v>8</v>
      </c>
      <c r="Q20" s="20" t="s">
        <v>14</v>
      </c>
      <c r="R20" s="22">
        <f t="shared" si="0"/>
        <v>0</v>
      </c>
      <c r="S20" s="22">
        <f t="shared" si="1"/>
        <v>0</v>
      </c>
      <c r="T20" s="22"/>
      <c r="U20" s="18"/>
    </row>
    <row r="21" spans="1:22">
      <c r="A21" s="14">
        <v>45997</v>
      </c>
      <c r="B21" s="15" t="s">
        <v>193</v>
      </c>
      <c r="C21" s="20" t="s">
        <v>16</v>
      </c>
      <c r="D21" s="21"/>
      <c r="E21" s="20" t="s">
        <v>84</v>
      </c>
      <c r="F21" s="20" t="s">
        <v>85</v>
      </c>
      <c r="G21" s="17"/>
      <c r="H21" s="17"/>
      <c r="I21" s="22"/>
      <c r="J21" s="22">
        <v>600</v>
      </c>
      <c r="K21" s="18"/>
      <c r="N21" s="14"/>
      <c r="O21" s="15"/>
      <c r="P21" s="15" t="s">
        <v>84</v>
      </c>
      <c r="Q21" s="15" t="s">
        <v>14</v>
      </c>
      <c r="R21" s="17">
        <f t="shared" si="0"/>
        <v>0</v>
      </c>
      <c r="S21" s="17">
        <f t="shared" si="1"/>
        <v>0</v>
      </c>
      <c r="T21" s="17"/>
      <c r="U21" s="18"/>
    </row>
    <row r="22" spans="1:22">
      <c r="A22" s="14">
        <v>46000</v>
      </c>
      <c r="B22" s="15" t="s">
        <v>415</v>
      </c>
      <c r="C22" s="15" t="s">
        <v>98</v>
      </c>
      <c r="D22" s="16"/>
      <c r="E22" s="15" t="s">
        <v>84</v>
      </c>
      <c r="F22" s="15" t="s">
        <v>85</v>
      </c>
      <c r="G22" s="17"/>
      <c r="H22" s="17"/>
      <c r="I22" s="17"/>
      <c r="J22" s="17">
        <v>400</v>
      </c>
      <c r="K22" s="18"/>
      <c r="N22" s="19"/>
      <c r="O22" s="20"/>
      <c r="P22" s="20" t="s">
        <v>8</v>
      </c>
      <c r="Q22" s="20" t="s">
        <v>14</v>
      </c>
      <c r="R22" s="22">
        <f t="shared" si="0"/>
        <v>0</v>
      </c>
      <c r="S22" s="22">
        <f t="shared" si="1"/>
        <v>0</v>
      </c>
      <c r="T22" s="22"/>
      <c r="U22" s="18"/>
    </row>
    <row r="23" spans="1:22">
      <c r="A23" s="14">
        <v>46002</v>
      </c>
      <c r="B23" s="20" t="s">
        <v>331</v>
      </c>
      <c r="C23" s="20" t="s">
        <v>16</v>
      </c>
      <c r="D23" s="21"/>
      <c r="E23" s="20" t="s">
        <v>84</v>
      </c>
      <c r="F23" s="20" t="s">
        <v>85</v>
      </c>
      <c r="G23" s="17"/>
      <c r="H23" s="17"/>
      <c r="I23" s="22"/>
      <c r="J23" s="22">
        <v>450</v>
      </c>
      <c r="K23" s="18"/>
      <c r="N23" s="19"/>
      <c r="O23" s="20"/>
      <c r="P23" s="20" t="s">
        <v>8</v>
      </c>
      <c r="Q23" s="20" t="s">
        <v>14</v>
      </c>
      <c r="R23" s="22">
        <f t="shared" si="0"/>
        <v>0</v>
      </c>
      <c r="S23" s="22">
        <f t="shared" si="1"/>
        <v>0</v>
      </c>
      <c r="T23" s="22"/>
      <c r="U23" s="18"/>
    </row>
    <row r="24" spans="1:22">
      <c r="A24" s="14">
        <v>46002</v>
      </c>
      <c r="B24" s="20" t="s">
        <v>331</v>
      </c>
      <c r="C24" s="15" t="s">
        <v>93</v>
      </c>
      <c r="D24" s="16" t="s">
        <v>417</v>
      </c>
      <c r="E24" s="15" t="s">
        <v>84</v>
      </c>
      <c r="F24" s="15" t="s">
        <v>85</v>
      </c>
      <c r="G24" s="17"/>
      <c r="H24" s="17"/>
      <c r="I24" s="17"/>
      <c r="J24" s="17">
        <v>500</v>
      </c>
      <c r="K24" s="18"/>
      <c r="N24" s="19"/>
      <c r="O24" s="20"/>
      <c r="P24" s="20" t="s">
        <v>8</v>
      </c>
      <c r="Q24" s="20" t="s">
        <v>14</v>
      </c>
      <c r="R24" s="22">
        <f t="shared" si="0"/>
        <v>0</v>
      </c>
      <c r="S24" s="22">
        <f t="shared" si="1"/>
        <v>0</v>
      </c>
      <c r="T24" s="22"/>
      <c r="U24" s="18"/>
    </row>
    <row r="25" spans="1:22">
      <c r="A25" s="14">
        <v>46002</v>
      </c>
      <c r="B25" s="20" t="s">
        <v>416</v>
      </c>
      <c r="C25" s="15" t="s">
        <v>91</v>
      </c>
      <c r="D25" s="16"/>
      <c r="E25" s="15" t="s">
        <v>84</v>
      </c>
      <c r="F25" s="15" t="s">
        <v>85</v>
      </c>
      <c r="G25" s="17"/>
      <c r="H25" s="17"/>
      <c r="I25" s="17"/>
      <c r="J25" s="17">
        <v>450</v>
      </c>
      <c r="K25" s="18"/>
      <c r="N25" s="29"/>
      <c r="O25" s="29"/>
      <c r="P25" s="29"/>
      <c r="Q25" s="29"/>
      <c r="R25" s="29"/>
      <c r="S25" s="29"/>
      <c r="T25" s="29"/>
      <c r="U25" s="29"/>
      <c r="V25" s="29"/>
    </row>
    <row r="26" spans="1:22">
      <c r="A26" s="14">
        <v>46002</v>
      </c>
      <c r="B26" s="20" t="s">
        <v>416</v>
      </c>
      <c r="C26" s="20" t="s">
        <v>98</v>
      </c>
      <c r="D26" s="21"/>
      <c r="E26" s="20" t="s">
        <v>84</v>
      </c>
      <c r="F26" s="20" t="s">
        <v>85</v>
      </c>
      <c r="G26" s="17"/>
      <c r="H26" s="17"/>
      <c r="I26" s="22"/>
      <c r="J26" s="22">
        <v>100</v>
      </c>
      <c r="K26" s="18" t="s">
        <v>418</v>
      </c>
      <c r="N26" s="29"/>
      <c r="O26" s="29"/>
      <c r="P26" s="29"/>
      <c r="Q26" s="29"/>
      <c r="R26" s="29"/>
      <c r="S26" s="29"/>
      <c r="T26" s="29"/>
      <c r="U26" s="29"/>
      <c r="V26" s="29"/>
    </row>
    <row r="27" spans="1:22">
      <c r="A27" s="14">
        <v>46002</v>
      </c>
      <c r="B27" s="15" t="s">
        <v>335</v>
      </c>
      <c r="C27" s="15" t="s">
        <v>99</v>
      </c>
      <c r="D27" s="16"/>
      <c r="E27" s="15" t="s">
        <v>84</v>
      </c>
      <c r="F27" s="15" t="s">
        <v>85</v>
      </c>
      <c r="G27" s="17"/>
      <c r="H27" s="17"/>
      <c r="I27" s="17"/>
      <c r="J27" s="17">
        <v>300</v>
      </c>
      <c r="K27" s="18"/>
      <c r="N27" s="30"/>
      <c r="O27" s="31"/>
      <c r="P27" s="31"/>
      <c r="Q27" s="31"/>
      <c r="R27" s="32"/>
      <c r="S27" s="32"/>
      <c r="T27" s="32"/>
      <c r="U27" s="31"/>
      <c r="V27" s="29"/>
    </row>
    <row r="28" spans="1:22">
      <c r="A28" s="14">
        <v>46002</v>
      </c>
      <c r="B28" s="15" t="s">
        <v>335</v>
      </c>
      <c r="C28" s="20" t="s">
        <v>16</v>
      </c>
      <c r="D28" s="21"/>
      <c r="E28" s="20" t="s">
        <v>8</v>
      </c>
      <c r="F28" s="20" t="s">
        <v>19</v>
      </c>
      <c r="G28" s="17"/>
      <c r="H28" s="17"/>
      <c r="I28" s="22"/>
      <c r="J28" s="22">
        <v>600</v>
      </c>
      <c r="K28" s="18"/>
      <c r="N28" s="30"/>
      <c r="O28" s="31"/>
      <c r="P28" s="31"/>
      <c r="Q28" s="31"/>
      <c r="R28" s="32"/>
      <c r="S28" s="32"/>
      <c r="T28" s="32"/>
      <c r="U28" s="31"/>
      <c r="V28" s="29"/>
    </row>
    <row r="29" spans="1:22">
      <c r="A29" s="14">
        <v>46002</v>
      </c>
      <c r="B29" s="15" t="s">
        <v>335</v>
      </c>
      <c r="C29" s="20" t="s">
        <v>98</v>
      </c>
      <c r="D29" s="21"/>
      <c r="E29" s="20" t="s">
        <v>84</v>
      </c>
      <c r="F29" s="20" t="s">
        <v>85</v>
      </c>
      <c r="G29" s="17"/>
      <c r="H29" s="17"/>
      <c r="I29" s="22"/>
      <c r="J29" s="22">
        <v>100</v>
      </c>
      <c r="K29" s="18"/>
      <c r="N29" s="30"/>
      <c r="O29" s="31"/>
      <c r="P29" s="31"/>
      <c r="Q29" s="31"/>
      <c r="R29" s="32"/>
      <c r="S29" s="32"/>
      <c r="T29" s="32"/>
      <c r="U29" s="31"/>
      <c r="V29" s="29"/>
    </row>
    <row r="30" spans="1:22">
      <c r="A30" s="14">
        <v>46003</v>
      </c>
      <c r="B30" s="15" t="s">
        <v>419</v>
      </c>
      <c r="C30" s="15" t="s">
        <v>98</v>
      </c>
      <c r="D30" s="16"/>
      <c r="E30" s="15" t="s">
        <v>8</v>
      </c>
      <c r="F30" s="20" t="s">
        <v>19</v>
      </c>
      <c r="G30" s="17"/>
      <c r="H30" s="17"/>
      <c r="I30" s="17"/>
      <c r="J30" s="17">
        <v>870</v>
      </c>
      <c r="K30" s="18"/>
      <c r="N30" s="30"/>
      <c r="O30" s="31"/>
      <c r="P30" s="31"/>
      <c r="Q30" s="31"/>
      <c r="R30" s="32"/>
      <c r="S30" s="32"/>
      <c r="T30" s="32"/>
      <c r="U30" s="31"/>
      <c r="V30" s="29"/>
    </row>
    <row r="31" spans="1:22">
      <c r="A31" s="14">
        <v>46003</v>
      </c>
      <c r="B31" s="15" t="s">
        <v>419</v>
      </c>
      <c r="C31" s="20" t="s">
        <v>98</v>
      </c>
      <c r="D31" s="21"/>
      <c r="E31" s="20" t="s">
        <v>8</v>
      </c>
      <c r="F31" s="20" t="s">
        <v>19</v>
      </c>
      <c r="G31" s="17"/>
      <c r="H31" s="17"/>
      <c r="I31" s="22"/>
      <c r="J31" s="22">
        <v>870</v>
      </c>
      <c r="K31" s="18"/>
      <c r="N31" s="30"/>
      <c r="O31" s="31"/>
      <c r="P31" s="31"/>
      <c r="Q31" s="31"/>
      <c r="R31" s="32"/>
      <c r="S31" s="32"/>
      <c r="T31" s="32"/>
      <c r="U31" s="31"/>
      <c r="V31" s="29"/>
    </row>
    <row r="32" spans="1:22">
      <c r="A32" s="14">
        <v>46003</v>
      </c>
      <c r="B32" s="15" t="s">
        <v>419</v>
      </c>
      <c r="C32" s="15" t="s">
        <v>93</v>
      </c>
      <c r="D32" s="16"/>
      <c r="E32" s="15" t="s">
        <v>189</v>
      </c>
      <c r="F32" s="15" t="s">
        <v>85</v>
      </c>
      <c r="G32" s="17"/>
      <c r="H32" s="17"/>
      <c r="I32" s="17"/>
      <c r="J32" s="17">
        <v>2560</v>
      </c>
      <c r="K32" s="18"/>
      <c r="N32" s="30"/>
      <c r="O32" s="31"/>
      <c r="P32" s="31"/>
      <c r="Q32" s="31"/>
      <c r="R32" s="32"/>
      <c r="S32" s="32"/>
      <c r="T32" s="32"/>
      <c r="U32" s="31"/>
      <c r="V32" s="29"/>
    </row>
    <row r="33" spans="1:22">
      <c r="A33" s="14">
        <v>46003</v>
      </c>
      <c r="B33" s="20" t="s">
        <v>181</v>
      </c>
      <c r="C33" s="20" t="s">
        <v>16</v>
      </c>
      <c r="D33" s="21"/>
      <c r="E33" s="20" t="s">
        <v>8</v>
      </c>
      <c r="F33" s="20" t="s">
        <v>19</v>
      </c>
      <c r="G33" s="17"/>
      <c r="H33" s="17"/>
      <c r="I33" s="22"/>
      <c r="J33" s="22">
        <v>600</v>
      </c>
      <c r="K33" s="18"/>
      <c r="N33" s="30"/>
      <c r="O33" s="31"/>
      <c r="P33" s="31"/>
      <c r="Q33" s="31"/>
      <c r="R33" s="32"/>
      <c r="S33" s="32"/>
      <c r="T33" s="32"/>
      <c r="U33" s="31"/>
      <c r="V33" s="29"/>
    </row>
    <row r="34" spans="1:22">
      <c r="A34" s="19">
        <v>46008</v>
      </c>
      <c r="B34" s="15" t="s">
        <v>331</v>
      </c>
      <c r="C34" s="15" t="s">
        <v>98</v>
      </c>
      <c r="D34" s="16" t="s">
        <v>249</v>
      </c>
      <c r="E34" s="15" t="s">
        <v>84</v>
      </c>
      <c r="F34" s="15" t="s">
        <v>85</v>
      </c>
      <c r="G34" s="17"/>
      <c r="H34" s="17"/>
      <c r="I34" s="17"/>
      <c r="J34" s="17">
        <v>400</v>
      </c>
      <c r="K34" s="18"/>
      <c r="N34" s="30"/>
      <c r="O34" s="31"/>
      <c r="P34" s="31"/>
      <c r="Q34" s="31"/>
      <c r="R34" s="32"/>
      <c r="S34" s="32"/>
      <c r="T34" s="32"/>
      <c r="U34" s="31"/>
      <c r="V34" s="29"/>
    </row>
    <row r="35" spans="1:22">
      <c r="A35" s="19">
        <v>46009</v>
      </c>
      <c r="B35" s="20" t="s">
        <v>205</v>
      </c>
      <c r="C35" s="20" t="s">
        <v>16</v>
      </c>
      <c r="D35" s="21"/>
      <c r="E35" s="20" t="s">
        <v>189</v>
      </c>
      <c r="F35" s="20"/>
      <c r="G35" s="17"/>
      <c r="H35" s="17"/>
      <c r="I35" s="22"/>
      <c r="J35" s="22">
        <v>500</v>
      </c>
      <c r="K35" s="18"/>
      <c r="N35" s="30"/>
      <c r="O35" s="31"/>
      <c r="P35" s="31"/>
      <c r="Q35" s="31"/>
      <c r="R35" s="32"/>
      <c r="S35" s="32"/>
      <c r="T35" s="32"/>
      <c r="U35" s="31"/>
      <c r="V35" s="29"/>
    </row>
    <row r="36" spans="1:22">
      <c r="A36" s="19">
        <v>46009</v>
      </c>
      <c r="B36" s="15" t="s">
        <v>301</v>
      </c>
      <c r="C36" s="15" t="s">
        <v>16</v>
      </c>
      <c r="D36" s="16"/>
      <c r="E36" s="15" t="s">
        <v>84</v>
      </c>
      <c r="F36" s="15" t="s">
        <v>85</v>
      </c>
      <c r="G36" s="17"/>
      <c r="H36" s="17"/>
      <c r="I36" s="17"/>
      <c r="J36" s="17">
        <v>600</v>
      </c>
      <c r="K36" s="18"/>
      <c r="N36" s="30"/>
      <c r="O36" s="31"/>
      <c r="P36" s="31"/>
      <c r="Q36" s="31"/>
      <c r="R36" s="32"/>
      <c r="S36" s="32"/>
      <c r="T36" s="32"/>
      <c r="U36" s="31"/>
      <c r="V36" s="29"/>
    </row>
    <row r="37" spans="1:22">
      <c r="A37" s="19">
        <v>46009</v>
      </c>
      <c r="B37" s="20" t="s">
        <v>301</v>
      </c>
      <c r="C37" s="20" t="s">
        <v>99</v>
      </c>
      <c r="D37" s="21"/>
      <c r="E37" s="20" t="s">
        <v>84</v>
      </c>
      <c r="F37" s="20" t="s">
        <v>19</v>
      </c>
      <c r="G37" s="17"/>
      <c r="H37" s="17"/>
      <c r="I37" s="22"/>
      <c r="J37" s="22">
        <v>350</v>
      </c>
      <c r="K37" s="18"/>
      <c r="N37" s="30"/>
      <c r="O37" s="31"/>
      <c r="P37" s="31"/>
      <c r="Q37" s="31"/>
      <c r="R37" s="32"/>
      <c r="S37" s="32"/>
      <c r="T37" s="32"/>
      <c r="U37" s="31"/>
      <c r="V37" s="29"/>
    </row>
    <row r="38" spans="1:22">
      <c r="A38" s="19">
        <v>46009</v>
      </c>
      <c r="B38" s="20" t="s">
        <v>221</v>
      </c>
      <c r="C38" s="20" t="s">
        <v>99</v>
      </c>
      <c r="D38" s="16" t="s">
        <v>421</v>
      </c>
      <c r="E38" s="15"/>
      <c r="F38" s="15"/>
      <c r="G38" s="17" t="s">
        <v>423</v>
      </c>
      <c r="H38" s="17"/>
      <c r="I38" s="17"/>
      <c r="J38" s="17">
        <v>0</v>
      </c>
      <c r="K38" s="18" t="s">
        <v>422</v>
      </c>
      <c r="N38" s="30"/>
      <c r="O38" s="31"/>
      <c r="P38" s="31"/>
      <c r="Q38" s="31"/>
      <c r="R38" s="32"/>
      <c r="S38" s="32"/>
      <c r="T38" s="32"/>
      <c r="U38" s="31"/>
      <c r="V38" s="29"/>
    </row>
    <row r="39" spans="1:22">
      <c r="A39" s="19">
        <v>46010</v>
      </c>
      <c r="B39" s="20" t="s">
        <v>309</v>
      </c>
      <c r="C39" s="20"/>
      <c r="D39" s="21"/>
      <c r="E39" s="20" t="s">
        <v>84</v>
      </c>
      <c r="F39" s="20" t="s">
        <v>85</v>
      </c>
      <c r="G39" s="17"/>
      <c r="H39" s="17"/>
      <c r="I39" s="22"/>
      <c r="J39" s="22">
        <v>600</v>
      </c>
      <c r="K39" s="18"/>
      <c r="N39" s="30"/>
      <c r="O39" s="31"/>
      <c r="P39" s="31"/>
      <c r="Q39" s="31"/>
      <c r="R39" s="32"/>
      <c r="S39" s="32"/>
      <c r="T39" s="32"/>
      <c r="U39" s="31"/>
      <c r="V39" s="29"/>
    </row>
    <row r="40" spans="1:22">
      <c r="A40" s="19">
        <v>46010</v>
      </c>
      <c r="B40" s="20" t="s">
        <v>354</v>
      </c>
      <c r="C40" s="20"/>
      <c r="D40" s="21"/>
      <c r="E40" s="20" t="s">
        <v>8</v>
      </c>
      <c r="F40" s="20" t="s">
        <v>19</v>
      </c>
      <c r="G40" s="17"/>
      <c r="H40" s="17"/>
      <c r="I40" s="22"/>
      <c r="J40" s="22">
        <v>400</v>
      </c>
      <c r="K40" s="18"/>
      <c r="N40" s="29"/>
      <c r="O40" s="29"/>
      <c r="P40" s="29"/>
      <c r="Q40" s="29"/>
      <c r="R40" s="29"/>
      <c r="S40" s="29"/>
      <c r="T40" s="29"/>
      <c r="U40" s="29"/>
      <c r="V40" s="29"/>
    </row>
    <row r="41" spans="1:22">
      <c r="A41" s="19">
        <v>46011</v>
      </c>
      <c r="B41" s="15" t="s">
        <v>424</v>
      </c>
      <c r="C41" s="15" t="s">
        <v>16</v>
      </c>
      <c r="D41" s="16"/>
      <c r="E41" s="15" t="s">
        <v>84</v>
      </c>
      <c r="F41" s="15" t="s">
        <v>85</v>
      </c>
      <c r="G41" s="17"/>
      <c r="H41" s="17"/>
      <c r="I41" s="17"/>
      <c r="J41" s="17">
        <v>600</v>
      </c>
      <c r="K41" s="18"/>
      <c r="N41" s="29"/>
      <c r="O41" s="29"/>
      <c r="P41" s="29"/>
      <c r="Q41" s="29"/>
      <c r="R41" s="29"/>
      <c r="S41" s="29"/>
      <c r="T41" s="29"/>
      <c r="U41" s="29"/>
      <c r="V41" s="29"/>
    </row>
    <row r="42" spans="1:22">
      <c r="A42" s="19">
        <v>46011</v>
      </c>
      <c r="B42" s="15" t="s">
        <v>322</v>
      </c>
      <c r="C42" s="20" t="s">
        <v>99</v>
      </c>
      <c r="D42" s="21" t="s">
        <v>425</v>
      </c>
      <c r="E42" s="20" t="s">
        <v>8</v>
      </c>
      <c r="F42" s="20" t="s">
        <v>19</v>
      </c>
      <c r="G42" s="17"/>
      <c r="H42" s="17"/>
      <c r="I42" s="22"/>
      <c r="J42" s="22">
        <v>100</v>
      </c>
      <c r="K42" s="18"/>
      <c r="N42" s="29"/>
      <c r="O42" s="29"/>
      <c r="P42" s="29"/>
      <c r="Q42" s="29"/>
      <c r="R42" s="29"/>
      <c r="S42" s="29"/>
      <c r="T42" s="29"/>
      <c r="U42" s="29"/>
      <c r="V42" s="29"/>
    </row>
    <row r="43" spans="1:22">
      <c r="A43" s="19">
        <v>46011</v>
      </c>
      <c r="B43" s="15" t="s">
        <v>281</v>
      </c>
      <c r="C43" s="15" t="s">
        <v>16</v>
      </c>
      <c r="D43" s="16"/>
      <c r="E43" s="15" t="s">
        <v>84</v>
      </c>
      <c r="F43" s="15" t="s">
        <v>85</v>
      </c>
      <c r="G43" s="17"/>
      <c r="H43" s="17"/>
      <c r="I43" s="17"/>
      <c r="J43" s="17">
        <v>600</v>
      </c>
      <c r="K43" s="18"/>
      <c r="N43" s="29"/>
      <c r="O43" s="29"/>
      <c r="P43" s="29"/>
      <c r="Q43" s="29"/>
      <c r="R43" s="29"/>
      <c r="S43" s="29"/>
      <c r="T43" s="29"/>
      <c r="U43" s="29"/>
      <c r="V43" s="29"/>
    </row>
    <row r="44" spans="1:22">
      <c r="A44" s="14">
        <v>46013</v>
      </c>
      <c r="B44" s="15" t="s">
        <v>295</v>
      </c>
      <c r="C44" s="15" t="s">
        <v>16</v>
      </c>
      <c r="D44" s="16"/>
      <c r="E44" s="15" t="s">
        <v>84</v>
      </c>
      <c r="F44" s="15" t="s">
        <v>85</v>
      </c>
      <c r="G44" s="17"/>
      <c r="H44" s="17"/>
      <c r="I44" s="17"/>
      <c r="J44" s="17">
        <v>600</v>
      </c>
      <c r="K44" s="18"/>
    </row>
    <row r="45" spans="1:22">
      <c r="A45" s="14">
        <v>46013</v>
      </c>
      <c r="B45" s="15" t="s">
        <v>426</v>
      </c>
      <c r="C45" s="15" t="s">
        <v>99</v>
      </c>
      <c r="D45" s="21"/>
      <c r="E45" s="20" t="s">
        <v>84</v>
      </c>
      <c r="F45" s="20" t="s">
        <v>85</v>
      </c>
      <c r="G45" s="17"/>
      <c r="H45" s="17"/>
      <c r="I45" s="22"/>
      <c r="J45" s="22">
        <v>500</v>
      </c>
      <c r="K45" s="18"/>
    </row>
    <row r="46" spans="1:22">
      <c r="A46" s="14">
        <v>46013</v>
      </c>
      <c r="B46" s="15" t="s">
        <v>427</v>
      </c>
      <c r="C46" s="15" t="s">
        <v>16</v>
      </c>
      <c r="D46" s="16"/>
      <c r="E46" s="15" t="s">
        <v>84</v>
      </c>
      <c r="F46" s="15" t="s">
        <v>85</v>
      </c>
      <c r="G46" s="17"/>
      <c r="H46" s="17"/>
      <c r="I46" s="17"/>
      <c r="J46" s="17">
        <v>600</v>
      </c>
      <c r="K46" s="18"/>
    </row>
    <row r="47" spans="1:22">
      <c r="A47" s="14">
        <v>46013</v>
      </c>
      <c r="B47" s="20" t="s">
        <v>428</v>
      </c>
      <c r="C47" s="20" t="s">
        <v>16</v>
      </c>
      <c r="D47" s="21"/>
      <c r="E47" s="20" t="s">
        <v>84</v>
      </c>
      <c r="F47" s="20" t="s">
        <v>85</v>
      </c>
      <c r="G47" s="17"/>
      <c r="H47" s="17"/>
      <c r="I47" s="22"/>
      <c r="J47" s="22">
        <v>600</v>
      </c>
      <c r="K47" s="18"/>
    </row>
    <row r="48" spans="1:22">
      <c r="A48" s="14">
        <v>46013</v>
      </c>
      <c r="B48" s="15" t="s">
        <v>429</v>
      </c>
      <c r="C48" s="15" t="s">
        <v>16</v>
      </c>
      <c r="D48" s="16"/>
      <c r="E48" s="15" t="s">
        <v>84</v>
      </c>
      <c r="F48" s="15" t="s">
        <v>85</v>
      </c>
      <c r="G48" s="17"/>
      <c r="H48" s="17"/>
      <c r="I48" s="17"/>
      <c r="J48" s="17">
        <v>600</v>
      </c>
      <c r="K48" s="18"/>
    </row>
    <row r="49" spans="1:21">
      <c r="A49" s="14">
        <v>46013</v>
      </c>
      <c r="B49" s="15" t="s">
        <v>426</v>
      </c>
      <c r="C49" s="20" t="s">
        <v>98</v>
      </c>
      <c r="D49" s="21" t="s">
        <v>430</v>
      </c>
      <c r="E49" s="20" t="s">
        <v>84</v>
      </c>
      <c r="F49" s="20" t="s">
        <v>85</v>
      </c>
      <c r="G49" s="17"/>
      <c r="H49" s="17"/>
      <c r="I49" s="22"/>
      <c r="J49" s="22">
        <v>500</v>
      </c>
      <c r="K49" s="18"/>
    </row>
    <row r="50" spans="1:21">
      <c r="A50" s="14">
        <v>46013</v>
      </c>
      <c r="B50" s="20" t="s">
        <v>427</v>
      </c>
      <c r="C50" s="15" t="s">
        <v>99</v>
      </c>
      <c r="D50" s="16"/>
      <c r="E50" s="15" t="s">
        <v>84</v>
      </c>
      <c r="F50" s="15" t="s">
        <v>85</v>
      </c>
      <c r="G50" s="17"/>
      <c r="H50" s="17"/>
      <c r="I50" s="17"/>
      <c r="J50" s="17">
        <v>300</v>
      </c>
      <c r="K50" s="18"/>
      <c r="N50" s="30"/>
      <c r="O50" s="31"/>
      <c r="P50" s="31"/>
      <c r="Q50" s="31"/>
      <c r="R50" s="32"/>
      <c r="S50" s="32"/>
      <c r="T50" s="32"/>
      <c r="U50" s="31"/>
    </row>
    <row r="51" spans="1:21">
      <c r="A51" s="14">
        <v>46013</v>
      </c>
      <c r="B51" s="15" t="s">
        <v>429</v>
      </c>
      <c r="C51" s="20" t="s">
        <v>93</v>
      </c>
      <c r="D51" s="21" t="s">
        <v>431</v>
      </c>
      <c r="E51" s="20" t="s">
        <v>84</v>
      </c>
      <c r="F51" s="20" t="s">
        <v>85</v>
      </c>
      <c r="G51" s="17"/>
      <c r="H51" s="17"/>
      <c r="I51" s="22"/>
      <c r="J51" s="22">
        <v>600</v>
      </c>
      <c r="K51" s="18"/>
      <c r="N51" s="30"/>
      <c r="O51" s="31"/>
      <c r="P51" s="31"/>
      <c r="Q51" s="31"/>
      <c r="R51" s="32"/>
      <c r="S51" s="32"/>
      <c r="T51" s="32"/>
      <c r="U51" s="31"/>
    </row>
    <row r="52" spans="1:21">
      <c r="A52" s="19">
        <v>46017</v>
      </c>
      <c r="B52" s="20" t="s">
        <v>432</v>
      </c>
      <c r="C52" s="20" t="s">
        <v>99</v>
      </c>
      <c r="D52" s="21"/>
      <c r="E52" s="20" t="s">
        <v>8</v>
      </c>
      <c r="F52" s="20" t="s">
        <v>85</v>
      </c>
      <c r="G52" s="17"/>
      <c r="H52" s="17"/>
      <c r="I52" s="22"/>
      <c r="J52" s="22">
        <v>500</v>
      </c>
      <c r="K52" s="18"/>
      <c r="N52" s="30"/>
      <c r="O52" s="31"/>
      <c r="P52" s="31"/>
      <c r="Q52" s="31"/>
      <c r="R52" s="32"/>
      <c r="S52" s="32"/>
      <c r="T52" s="32"/>
      <c r="U52" s="31"/>
    </row>
    <row r="53" spans="1:21">
      <c r="A53" s="19">
        <v>46017</v>
      </c>
      <c r="B53" s="20" t="s">
        <v>432</v>
      </c>
      <c r="C53" s="20" t="s">
        <v>58</v>
      </c>
      <c r="D53" s="21"/>
      <c r="E53" s="20" t="s">
        <v>8</v>
      </c>
      <c r="F53" s="20" t="s">
        <v>85</v>
      </c>
      <c r="G53" s="17"/>
      <c r="H53" s="17"/>
      <c r="I53" s="22"/>
      <c r="J53" s="22">
        <v>600</v>
      </c>
      <c r="K53" s="18"/>
      <c r="N53" s="30"/>
      <c r="O53" s="31"/>
      <c r="P53" s="31"/>
      <c r="Q53" s="31"/>
      <c r="R53" s="32"/>
      <c r="S53" s="32"/>
      <c r="T53" s="32"/>
      <c r="U53" s="31"/>
    </row>
    <row r="54" spans="1:21">
      <c r="A54" s="19">
        <v>46017</v>
      </c>
      <c r="B54" s="20" t="s">
        <v>433</v>
      </c>
      <c r="C54" s="20" t="s">
        <v>16</v>
      </c>
      <c r="D54" s="21"/>
      <c r="E54" s="20" t="s">
        <v>8</v>
      </c>
      <c r="F54" s="20"/>
      <c r="G54" s="17"/>
      <c r="H54" s="17"/>
      <c r="I54" s="22"/>
      <c r="J54" s="22">
        <v>600</v>
      </c>
      <c r="K54" s="18"/>
      <c r="N54" s="30"/>
      <c r="O54" s="31"/>
      <c r="P54" s="31"/>
      <c r="Q54" s="31"/>
      <c r="R54" s="32"/>
      <c r="S54" s="32"/>
      <c r="T54" s="32"/>
      <c r="U54" s="31"/>
    </row>
    <row r="55" spans="1:21">
      <c r="A55" s="19">
        <v>46017</v>
      </c>
      <c r="B55" s="20" t="s">
        <v>433</v>
      </c>
      <c r="C55" s="20" t="s">
        <v>16</v>
      </c>
      <c r="D55" s="21"/>
      <c r="E55" s="20" t="s">
        <v>8</v>
      </c>
      <c r="F55" s="20"/>
      <c r="G55" s="17"/>
      <c r="H55" s="17"/>
      <c r="I55" s="22"/>
      <c r="J55" s="22">
        <v>500</v>
      </c>
      <c r="K55" s="18"/>
      <c r="N55" s="30"/>
      <c r="O55" s="31"/>
      <c r="P55" s="31"/>
      <c r="Q55" s="31"/>
      <c r="R55" s="32"/>
      <c r="S55" s="32"/>
      <c r="T55" s="32"/>
      <c r="U55" s="31"/>
    </row>
    <row r="56" spans="1:21">
      <c r="A56" s="19">
        <v>46017</v>
      </c>
      <c r="B56" s="20" t="s">
        <v>434</v>
      </c>
      <c r="C56" s="20" t="s">
        <v>16</v>
      </c>
      <c r="D56" s="21"/>
      <c r="E56" s="20" t="s">
        <v>8</v>
      </c>
      <c r="F56" s="20"/>
      <c r="G56" s="22"/>
      <c r="H56" s="22"/>
      <c r="I56" s="22"/>
      <c r="J56" s="22">
        <v>600</v>
      </c>
      <c r="K56" s="18"/>
      <c r="N56" s="30"/>
      <c r="O56" s="31"/>
      <c r="P56" s="31"/>
      <c r="Q56" s="31"/>
      <c r="R56" s="32"/>
      <c r="S56" s="32"/>
      <c r="T56" s="32"/>
      <c r="U56" s="31"/>
    </row>
    <row r="57" spans="1:21">
      <c r="A57" s="19">
        <v>46018</v>
      </c>
      <c r="B57" s="20" t="s">
        <v>435</v>
      </c>
      <c r="C57" s="20" t="s">
        <v>88</v>
      </c>
      <c r="D57" s="21"/>
      <c r="E57" s="20"/>
      <c r="F57" s="20"/>
      <c r="G57" s="22"/>
      <c r="H57" s="22"/>
      <c r="I57" s="22"/>
      <c r="J57" s="22">
        <v>700</v>
      </c>
      <c r="K57" s="18"/>
      <c r="N57" s="30"/>
      <c r="O57" s="31"/>
      <c r="P57" s="31"/>
      <c r="Q57" s="31"/>
      <c r="R57" s="32"/>
      <c r="S57" s="32"/>
      <c r="T57" s="32"/>
      <c r="U57" s="31"/>
    </row>
    <row r="58" spans="1:21">
      <c r="A58" s="19">
        <v>46019</v>
      </c>
      <c r="B58" s="20" t="s">
        <v>440</v>
      </c>
      <c r="C58" s="20"/>
      <c r="D58" s="21"/>
      <c r="E58" s="20"/>
      <c r="F58" s="20"/>
      <c r="G58" s="22"/>
      <c r="H58" s="22"/>
      <c r="I58" s="22"/>
      <c r="J58" s="22">
        <v>650</v>
      </c>
      <c r="K58" s="18"/>
      <c r="N58" s="30"/>
      <c r="O58" s="31"/>
      <c r="P58" s="31"/>
      <c r="Q58" s="31"/>
      <c r="R58" s="32"/>
      <c r="S58" s="32"/>
      <c r="T58" s="32"/>
      <c r="U58" s="31"/>
    </row>
    <row r="59" spans="1:21">
      <c r="A59" s="19">
        <v>46019</v>
      </c>
      <c r="B59" s="20" t="s">
        <v>436</v>
      </c>
      <c r="C59" s="20" t="s">
        <v>98</v>
      </c>
      <c r="D59" s="21" t="s">
        <v>438</v>
      </c>
      <c r="E59" s="20"/>
      <c r="F59" s="20"/>
      <c r="G59" s="22"/>
      <c r="H59" s="22"/>
      <c r="I59" s="22"/>
      <c r="J59" s="22">
        <v>500</v>
      </c>
      <c r="K59" s="18"/>
    </row>
    <row r="60" spans="1:21">
      <c r="A60" s="19">
        <v>46019</v>
      </c>
      <c r="B60" s="20" t="s">
        <v>437</v>
      </c>
      <c r="C60" s="20" t="s">
        <v>98</v>
      </c>
      <c r="D60" s="21" t="s">
        <v>439</v>
      </c>
      <c r="E60" s="20" t="s">
        <v>84</v>
      </c>
      <c r="F60" s="20"/>
      <c r="G60" s="22"/>
      <c r="H60" s="22"/>
      <c r="I60" s="22"/>
      <c r="J60" s="22">
        <v>600</v>
      </c>
      <c r="K60" s="18"/>
    </row>
    <row r="61" spans="1:21">
      <c r="A61" s="19">
        <v>46019</v>
      </c>
      <c r="B61" s="20" t="s">
        <v>441</v>
      </c>
      <c r="C61" s="20" t="s">
        <v>16</v>
      </c>
      <c r="D61" s="21"/>
      <c r="E61" s="20"/>
      <c r="F61" s="20"/>
      <c r="G61" s="22"/>
      <c r="H61" s="22"/>
      <c r="I61" s="22"/>
      <c r="J61" s="22">
        <v>600</v>
      </c>
      <c r="K61" s="18"/>
    </row>
    <row r="62" spans="1:21">
      <c r="A62" s="19">
        <v>46019</v>
      </c>
      <c r="B62" s="20" t="s">
        <v>442</v>
      </c>
      <c r="C62" s="20" t="s">
        <v>16</v>
      </c>
      <c r="D62" s="21"/>
      <c r="E62" s="20"/>
      <c r="F62" s="20"/>
      <c r="G62" s="22"/>
      <c r="H62" s="22"/>
      <c r="I62" s="22"/>
      <c r="J62" s="22">
        <v>600</v>
      </c>
      <c r="K62" s="18"/>
    </row>
    <row r="63" spans="1:21">
      <c r="A63" s="19">
        <v>46019</v>
      </c>
      <c r="B63" s="20" t="s">
        <v>442</v>
      </c>
      <c r="C63" s="20" t="s">
        <v>98</v>
      </c>
      <c r="D63" s="21"/>
      <c r="E63" s="20"/>
      <c r="F63" s="20"/>
      <c r="G63" s="22"/>
      <c r="H63" s="22"/>
      <c r="I63" s="22"/>
      <c r="J63" s="22">
        <v>550</v>
      </c>
      <c r="K63" s="18"/>
    </row>
    <row r="64" spans="1:21">
      <c r="A64" s="19">
        <v>46019</v>
      </c>
      <c r="B64" s="20"/>
      <c r="C64" s="20"/>
      <c r="D64" s="21"/>
      <c r="E64" s="20"/>
      <c r="F64" s="20"/>
      <c r="G64" s="22"/>
      <c r="H64" s="22"/>
      <c r="I64" s="22"/>
      <c r="J64" s="22"/>
      <c r="K64" s="18"/>
    </row>
  </sheetData>
  <mergeCells count="4">
    <mergeCell ref="D4:E4"/>
    <mergeCell ref="A6:B6"/>
    <mergeCell ref="A14:K14"/>
    <mergeCell ref="N14:U14"/>
  </mergeCells>
  <dataValidations count="4">
    <dataValidation type="list" allowBlank="1" showInputMessage="1" showErrorMessage="1" sqref="C16:C64" xr:uid="{6A5DD376-7992-1B43-A6DB-ACC92996836E}">
      <formula1>"Limpieza Profunda, Anti-acné, PRODUCTO, Depilación Láser, Facial despigmentante, Lifting facial, Dermapen, Otro"</formula1>
    </dataValidation>
    <dataValidation type="list" allowBlank="1" showInputMessage="1" showErrorMessage="1" sqref="Q50:Q58 Q16:Q24 Q27:Q39 F16:F64" xr:uid="{F5B8E0C4-946A-1940-960F-4C50B1993187}">
      <formula1>"BBVA Alo, Caja"</formula1>
    </dataValidation>
    <dataValidation type="list" allowBlank="1" showInputMessage="1" showErrorMessage="1" sqref="P50:P58 P16:P24 P27:P39 E16:E64" xr:uid="{2CADCC5C-EC38-2442-9978-9515ACDDFC8B}">
      <formula1>"Efectivo,Transferencia,Tarjeta"</formula1>
    </dataValidation>
    <dataValidation type="list" allowBlank="1" showInputMessage="1" showErrorMessage="1" sqref="E15 P15" xr:uid="{AF3555E4-DF69-114F-811A-E02852C96CFB}">
      <formula1>"Efectivo, Transferencia, Tarjeta"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DBD1-638A-124A-8B58-00056557BA90}">
  <dimension ref="A1:V60"/>
  <sheetViews>
    <sheetView topLeftCell="A8" workbookViewId="0">
      <selection activeCell="J31" sqref="J31"/>
    </sheetView>
  </sheetViews>
  <sheetFormatPr baseColWidth="10" defaultRowHeight="15"/>
  <cols>
    <col min="1" max="1" width="19.6640625" customWidth="1"/>
    <col min="2" max="2" width="17.6640625" customWidth="1"/>
    <col min="3" max="3" width="18.6640625" bestFit="1" customWidth="1"/>
    <col min="4" max="4" width="22.1640625" style="8" customWidth="1"/>
    <col min="5" max="5" width="19.1640625" customWidth="1"/>
    <col min="6" max="6" width="21" customWidth="1"/>
    <col min="7" max="7" width="12.1640625" customWidth="1"/>
    <col min="9" max="9" width="14.33203125" customWidth="1"/>
    <col min="11" max="11" width="13" customWidth="1"/>
    <col min="12" max="13" width="3.1640625" customWidth="1"/>
    <col min="14" max="14" width="14.33203125" customWidth="1"/>
    <col min="15" max="15" width="19.1640625" customWidth="1"/>
    <col min="16" max="16" width="15.83203125" bestFit="1" customWidth="1"/>
    <col min="17" max="17" width="17.6640625" bestFit="1" customWidth="1"/>
    <col min="18" max="18" width="10.5" bestFit="1" customWidth="1"/>
  </cols>
  <sheetData>
    <row r="1" spans="1:21" ht="54" customHeight="1">
      <c r="A1" s="10"/>
      <c r="B1" s="10"/>
    </row>
    <row r="2" spans="1:21" ht="42" customHeight="1">
      <c r="A2" s="10"/>
      <c r="B2" s="10"/>
      <c r="E2" s="9"/>
    </row>
    <row r="3" spans="1:21">
      <c r="A3" s="6"/>
      <c r="B3" s="7"/>
    </row>
    <row r="4" spans="1:21" ht="42">
      <c r="A4" s="23" t="s">
        <v>75</v>
      </c>
      <c r="B4" s="24" t="s">
        <v>24</v>
      </c>
      <c r="D4" s="91" t="s">
        <v>86</v>
      </c>
      <c r="E4" s="91"/>
    </row>
    <row r="5" spans="1:21" ht="16">
      <c r="D5" s="26" t="s">
        <v>87</v>
      </c>
      <c r="E5" s="27">
        <f>SUMIF(C$15:C$196, "Limpieza profunda", J$15:J$1048576)</f>
        <v>12130</v>
      </c>
    </row>
    <row r="6" spans="1:21" ht="18">
      <c r="A6" s="92" t="s">
        <v>76</v>
      </c>
      <c r="B6" s="92"/>
      <c r="D6" s="26" t="s">
        <v>88</v>
      </c>
      <c r="E6" s="27">
        <f>SUMIF(C$15:C$196, "Anti-acné", J$15:J$1048576)</f>
        <v>700</v>
      </c>
    </row>
    <row r="7" spans="1:21" ht="18">
      <c r="A7" s="25" t="s">
        <v>82</v>
      </c>
      <c r="B7" s="33">
        <f>SUM(J16:J54)</f>
        <v>20680</v>
      </c>
      <c r="D7" s="26" t="s">
        <v>90</v>
      </c>
      <c r="E7" s="27">
        <f>SUMIF(C$15:C$196, "Depilación Láser", J$15:J$1048576)</f>
        <v>2930</v>
      </c>
    </row>
    <row r="8" spans="1:21" ht="18">
      <c r="A8" s="25" t="s">
        <v>83</v>
      </c>
      <c r="B8" s="33">
        <f>SUM(T16:T24)</f>
        <v>15050</v>
      </c>
      <c r="D8" s="26" t="s">
        <v>91</v>
      </c>
      <c r="E8" s="27">
        <f>SUMIF(C$15:C$196, "Facial despigmentante", J$15:J$1048576)</f>
        <v>600</v>
      </c>
    </row>
    <row r="9" spans="1:21" ht="16">
      <c r="D9" s="26" t="s">
        <v>58</v>
      </c>
      <c r="E9" s="27">
        <f>SUMIF(C$15:C$196, "Dermapen", J$15:J$1048576)</f>
        <v>0</v>
      </c>
    </row>
    <row r="10" spans="1:21" ht="16">
      <c r="B10" s="77">
        <f>B7-B8</f>
        <v>5630</v>
      </c>
      <c r="D10" s="26" t="s">
        <v>92</v>
      </c>
      <c r="E10" s="27">
        <f>SUMIF(C$15:C$196, "Lifting facial", J$15:J$1048576)</f>
        <v>0</v>
      </c>
    </row>
    <row r="11" spans="1:21" ht="16">
      <c r="D11" s="26" t="s">
        <v>89</v>
      </c>
      <c r="E11" s="27">
        <f>SUMIF(C$15:C$196, "PRODUCTO", J$15:J$1048576)</f>
        <v>1750</v>
      </c>
    </row>
    <row r="12" spans="1:21" ht="16">
      <c r="D12" s="26" t="s">
        <v>98</v>
      </c>
      <c r="E12" s="27">
        <f>SUMIF(C$15:C$196, "Otro", J$15:J$1048576)</f>
        <v>2570</v>
      </c>
    </row>
    <row r="13" spans="1:21">
      <c r="E13" s="2"/>
    </row>
    <row r="14" spans="1:21" ht="32" customHeight="1">
      <c r="A14" s="93" t="s">
        <v>94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N14" s="94" t="s">
        <v>96</v>
      </c>
      <c r="O14" s="94"/>
      <c r="P14" s="94"/>
      <c r="Q14" s="94"/>
      <c r="R14" s="94"/>
      <c r="S14" s="94"/>
      <c r="T14" s="94"/>
      <c r="U14" s="94"/>
    </row>
    <row r="15" spans="1:21" ht="16">
      <c r="A15" s="12" t="s">
        <v>81</v>
      </c>
      <c r="B15" s="12" t="s">
        <v>78</v>
      </c>
      <c r="C15" s="12" t="s">
        <v>97</v>
      </c>
      <c r="D15" s="13" t="s">
        <v>77</v>
      </c>
      <c r="E15" s="12" t="s">
        <v>79</v>
      </c>
      <c r="F15" s="12" t="s">
        <v>80</v>
      </c>
      <c r="G15" s="12" t="s">
        <v>2</v>
      </c>
      <c r="H15" s="12" t="s">
        <v>1</v>
      </c>
      <c r="I15" s="12" t="s">
        <v>3</v>
      </c>
      <c r="J15" s="12" t="s">
        <v>4</v>
      </c>
      <c r="K15" s="12" t="s">
        <v>95</v>
      </c>
      <c r="N15" s="28" t="s">
        <v>81</v>
      </c>
      <c r="O15" s="28" t="s">
        <v>5</v>
      </c>
      <c r="P15" s="28" t="s">
        <v>79</v>
      </c>
      <c r="Q15" s="28" t="s">
        <v>80</v>
      </c>
      <c r="R15" s="28" t="s">
        <v>2</v>
      </c>
      <c r="S15" s="28" t="s">
        <v>1</v>
      </c>
      <c r="T15" s="28" t="s">
        <v>4</v>
      </c>
      <c r="U15" s="28" t="s">
        <v>95</v>
      </c>
    </row>
    <row r="16" spans="1:21">
      <c r="A16" s="14">
        <v>45974</v>
      </c>
      <c r="B16" s="15" t="s">
        <v>331</v>
      </c>
      <c r="C16" s="15" t="s">
        <v>16</v>
      </c>
      <c r="D16" s="16"/>
      <c r="E16" s="15" t="s">
        <v>84</v>
      </c>
      <c r="F16" s="15" t="s">
        <v>85</v>
      </c>
      <c r="G16" s="17">
        <f t="shared" ref="G16:G55" si="0">J16-H16</f>
        <v>504</v>
      </c>
      <c r="H16" s="17">
        <f>J16*0.16</f>
        <v>96</v>
      </c>
      <c r="I16" s="17">
        <v>0</v>
      </c>
      <c r="J16" s="17">
        <v>600</v>
      </c>
      <c r="K16" s="18"/>
      <c r="N16" s="14">
        <v>45834</v>
      </c>
      <c r="O16" s="15" t="s">
        <v>261</v>
      </c>
      <c r="P16" s="15" t="s">
        <v>8</v>
      </c>
      <c r="Q16" s="15" t="s">
        <v>19</v>
      </c>
      <c r="R16" s="17">
        <f t="shared" ref="R16:R23" si="1">T16-S16</f>
        <v>294</v>
      </c>
      <c r="S16" s="17">
        <f t="shared" ref="S16:S23" si="2">T16*0.16</f>
        <v>56</v>
      </c>
      <c r="T16" s="17">
        <v>350</v>
      </c>
      <c r="U16" s="18"/>
    </row>
    <row r="17" spans="1:22">
      <c r="A17" s="14">
        <v>45974</v>
      </c>
      <c r="B17" s="20" t="s">
        <v>205</v>
      </c>
      <c r="C17" s="20" t="s">
        <v>16</v>
      </c>
      <c r="D17" s="21"/>
      <c r="E17" s="20" t="s">
        <v>189</v>
      </c>
      <c r="F17" s="20" t="s">
        <v>85</v>
      </c>
      <c r="G17" s="17">
        <f t="shared" si="0"/>
        <v>420</v>
      </c>
      <c r="H17" s="17">
        <f t="shared" ref="H17:H55" si="3">J17*0.16</f>
        <v>80</v>
      </c>
      <c r="I17" s="22"/>
      <c r="J17" s="22">
        <v>500</v>
      </c>
      <c r="K17" s="18"/>
      <c r="N17" s="19"/>
      <c r="O17" s="20" t="s">
        <v>405</v>
      </c>
      <c r="P17" s="20" t="s">
        <v>84</v>
      </c>
      <c r="Q17" s="20" t="s">
        <v>19</v>
      </c>
      <c r="R17" s="22">
        <f t="shared" si="1"/>
        <v>210</v>
      </c>
      <c r="S17" s="22">
        <f t="shared" si="2"/>
        <v>40</v>
      </c>
      <c r="T17" s="22">
        <v>250</v>
      </c>
      <c r="U17" s="18"/>
    </row>
    <row r="18" spans="1:22">
      <c r="A18" s="14">
        <v>45974</v>
      </c>
      <c r="B18" s="15" t="s">
        <v>386</v>
      </c>
      <c r="C18" s="15" t="s">
        <v>99</v>
      </c>
      <c r="D18" s="16"/>
      <c r="E18" s="15" t="s">
        <v>84</v>
      </c>
      <c r="F18" s="15" t="s">
        <v>85</v>
      </c>
      <c r="G18" s="17">
        <f t="shared" si="0"/>
        <v>697.2</v>
      </c>
      <c r="H18" s="17">
        <f t="shared" si="3"/>
        <v>132.80000000000001</v>
      </c>
      <c r="I18" s="17">
        <v>50</v>
      </c>
      <c r="J18" s="17">
        <v>830</v>
      </c>
      <c r="K18" s="18" t="s">
        <v>385</v>
      </c>
      <c r="N18" s="14"/>
      <c r="O18" s="15" t="s">
        <v>285</v>
      </c>
      <c r="P18" s="15" t="s">
        <v>84</v>
      </c>
      <c r="Q18" s="15" t="s">
        <v>19</v>
      </c>
      <c r="R18" s="17">
        <f t="shared" si="1"/>
        <v>6720</v>
      </c>
      <c r="S18" s="17">
        <f t="shared" si="2"/>
        <v>1280</v>
      </c>
      <c r="T18" s="17">
        <v>8000</v>
      </c>
      <c r="U18" s="18"/>
    </row>
    <row r="19" spans="1:22">
      <c r="A19" s="14">
        <v>45974</v>
      </c>
      <c r="B19" s="15" t="s">
        <v>386</v>
      </c>
      <c r="C19" s="20" t="s">
        <v>98</v>
      </c>
      <c r="D19" s="21"/>
      <c r="E19" s="20" t="s">
        <v>84</v>
      </c>
      <c r="F19" s="20" t="s">
        <v>85</v>
      </c>
      <c r="G19" s="17">
        <f t="shared" si="0"/>
        <v>84</v>
      </c>
      <c r="H19" s="17">
        <f t="shared" si="3"/>
        <v>16</v>
      </c>
      <c r="I19" s="22"/>
      <c r="J19" s="22">
        <v>100</v>
      </c>
      <c r="K19" s="18" t="s">
        <v>384</v>
      </c>
      <c r="N19" s="14"/>
      <c r="O19" s="15" t="s">
        <v>349</v>
      </c>
      <c r="P19" s="15" t="s">
        <v>8</v>
      </c>
      <c r="Q19" s="15" t="s">
        <v>14</v>
      </c>
      <c r="R19" s="17">
        <f t="shared" si="1"/>
        <v>168</v>
      </c>
      <c r="S19" s="17">
        <f t="shared" si="2"/>
        <v>32</v>
      </c>
      <c r="T19" s="17">
        <v>200</v>
      </c>
      <c r="U19" s="18"/>
    </row>
    <row r="20" spans="1:22">
      <c r="A20" s="14">
        <v>45974</v>
      </c>
      <c r="B20" s="15" t="s">
        <v>335</v>
      </c>
      <c r="C20" s="15" t="s">
        <v>16</v>
      </c>
      <c r="D20" s="16" t="s">
        <v>336</v>
      </c>
      <c r="E20" s="15" t="s">
        <v>84</v>
      </c>
      <c r="F20" s="15" t="s">
        <v>85</v>
      </c>
      <c r="G20" s="17">
        <f t="shared" si="0"/>
        <v>504</v>
      </c>
      <c r="H20" s="17">
        <f t="shared" si="3"/>
        <v>96</v>
      </c>
      <c r="I20" s="17"/>
      <c r="J20" s="17">
        <v>600</v>
      </c>
      <c r="K20" s="18"/>
      <c r="N20" s="19"/>
      <c r="O20" s="20" t="s">
        <v>406</v>
      </c>
      <c r="P20" s="20" t="s">
        <v>8</v>
      </c>
      <c r="Q20" s="20" t="s">
        <v>14</v>
      </c>
      <c r="R20" s="22">
        <f t="shared" si="1"/>
        <v>210</v>
      </c>
      <c r="S20" s="22">
        <f t="shared" si="2"/>
        <v>40</v>
      </c>
      <c r="T20" s="22">
        <v>250</v>
      </c>
      <c r="U20" s="18"/>
    </row>
    <row r="21" spans="1:22">
      <c r="A21" s="14">
        <v>45974</v>
      </c>
      <c r="B21" s="15" t="s">
        <v>335</v>
      </c>
      <c r="C21" s="20" t="s">
        <v>99</v>
      </c>
      <c r="D21" s="21"/>
      <c r="E21" s="20" t="s">
        <v>84</v>
      </c>
      <c r="F21" s="20" t="s">
        <v>85</v>
      </c>
      <c r="G21" s="17">
        <f t="shared" si="0"/>
        <v>252</v>
      </c>
      <c r="H21" s="17">
        <f t="shared" si="3"/>
        <v>48</v>
      </c>
      <c r="I21" s="22"/>
      <c r="J21" s="22">
        <v>300</v>
      </c>
      <c r="K21" s="18"/>
      <c r="N21" s="14"/>
      <c r="O21" s="15" t="s">
        <v>407</v>
      </c>
      <c r="P21" s="15" t="s">
        <v>84</v>
      </c>
      <c r="Q21" s="15" t="s">
        <v>14</v>
      </c>
      <c r="R21" s="17">
        <f t="shared" si="1"/>
        <v>2100</v>
      </c>
      <c r="S21" s="17">
        <f t="shared" si="2"/>
        <v>400</v>
      </c>
      <c r="T21" s="17">
        <v>2500</v>
      </c>
      <c r="U21" s="18"/>
    </row>
    <row r="22" spans="1:22">
      <c r="A22" s="14">
        <v>45974</v>
      </c>
      <c r="B22" s="15" t="s">
        <v>335</v>
      </c>
      <c r="C22" s="15" t="s">
        <v>98</v>
      </c>
      <c r="D22" s="16"/>
      <c r="E22" s="15" t="s">
        <v>84</v>
      </c>
      <c r="F22" s="15" t="s">
        <v>85</v>
      </c>
      <c r="G22" s="17">
        <f t="shared" si="0"/>
        <v>84</v>
      </c>
      <c r="H22" s="17">
        <f t="shared" si="3"/>
        <v>16</v>
      </c>
      <c r="I22" s="17"/>
      <c r="J22" s="17">
        <v>100</v>
      </c>
      <c r="K22" s="18" t="s">
        <v>387</v>
      </c>
      <c r="N22" s="19"/>
      <c r="O22" s="20" t="s">
        <v>72</v>
      </c>
      <c r="P22" s="20" t="s">
        <v>8</v>
      </c>
      <c r="Q22" s="20" t="s">
        <v>14</v>
      </c>
      <c r="R22" s="22">
        <f t="shared" si="1"/>
        <v>2100</v>
      </c>
      <c r="S22" s="22">
        <f t="shared" si="2"/>
        <v>400</v>
      </c>
      <c r="T22" s="22">
        <v>2500</v>
      </c>
      <c r="U22" s="18"/>
    </row>
    <row r="23" spans="1:22">
      <c r="A23" s="14">
        <v>45975</v>
      </c>
      <c r="B23" s="20" t="s">
        <v>388</v>
      </c>
      <c r="C23" s="20" t="s">
        <v>98</v>
      </c>
      <c r="D23" s="21"/>
      <c r="E23" s="20" t="s">
        <v>8</v>
      </c>
      <c r="F23" s="20" t="s">
        <v>19</v>
      </c>
      <c r="G23" s="17">
        <f t="shared" si="0"/>
        <v>588</v>
      </c>
      <c r="H23" s="17">
        <f t="shared" si="3"/>
        <v>112</v>
      </c>
      <c r="I23" s="22"/>
      <c r="J23" s="22">
        <v>700</v>
      </c>
      <c r="K23" s="18"/>
      <c r="N23" s="19"/>
      <c r="O23" s="20" t="s">
        <v>408</v>
      </c>
      <c r="P23" s="20" t="s">
        <v>8</v>
      </c>
      <c r="Q23" s="20" t="s">
        <v>14</v>
      </c>
      <c r="R23" s="22">
        <f t="shared" si="1"/>
        <v>588</v>
      </c>
      <c r="S23" s="22">
        <f t="shared" si="2"/>
        <v>112</v>
      </c>
      <c r="T23" s="22">
        <v>700</v>
      </c>
      <c r="U23" s="18"/>
    </row>
    <row r="24" spans="1:22">
      <c r="A24" s="14">
        <v>45975</v>
      </c>
      <c r="B24" s="20" t="s">
        <v>388</v>
      </c>
      <c r="C24" s="15" t="s">
        <v>93</v>
      </c>
      <c r="D24" s="16" t="s">
        <v>389</v>
      </c>
      <c r="E24" s="15" t="s">
        <v>8</v>
      </c>
      <c r="F24" s="15" t="s">
        <v>19</v>
      </c>
      <c r="G24" s="17">
        <f t="shared" si="0"/>
        <v>504</v>
      </c>
      <c r="H24" s="17">
        <f t="shared" si="3"/>
        <v>96</v>
      </c>
      <c r="I24" s="17"/>
      <c r="J24" s="17">
        <v>600</v>
      </c>
      <c r="K24" s="18"/>
      <c r="N24" s="19"/>
      <c r="O24" s="20" t="s">
        <v>409</v>
      </c>
      <c r="P24" s="20" t="s">
        <v>8</v>
      </c>
      <c r="Q24" s="20" t="s">
        <v>14</v>
      </c>
      <c r="R24" s="22">
        <f>T24-S24</f>
        <v>252</v>
      </c>
      <c r="S24" s="22">
        <f>T24*0.16</f>
        <v>48</v>
      </c>
      <c r="T24" s="22">
        <v>300</v>
      </c>
      <c r="U24" s="18"/>
    </row>
    <row r="25" spans="1:22">
      <c r="A25" s="14">
        <v>45975</v>
      </c>
      <c r="B25" s="20" t="s">
        <v>181</v>
      </c>
      <c r="C25" s="20" t="s">
        <v>16</v>
      </c>
      <c r="D25" s="21"/>
      <c r="E25" s="20" t="s">
        <v>8</v>
      </c>
      <c r="F25" s="20" t="s">
        <v>19</v>
      </c>
      <c r="G25" s="17">
        <f t="shared" si="0"/>
        <v>504</v>
      </c>
      <c r="H25" s="17">
        <f t="shared" si="3"/>
        <v>96</v>
      </c>
      <c r="I25" s="22"/>
      <c r="J25" s="22">
        <v>600</v>
      </c>
      <c r="K25" s="18"/>
      <c r="N25" s="29"/>
      <c r="O25" s="29"/>
      <c r="P25" s="29"/>
      <c r="Q25" s="29"/>
      <c r="R25" s="29"/>
      <c r="S25" s="29"/>
      <c r="T25" s="29"/>
      <c r="U25" s="29"/>
      <c r="V25" s="29"/>
    </row>
    <row r="26" spans="1:22">
      <c r="A26" s="14">
        <v>45975</v>
      </c>
      <c r="B26" s="15" t="s">
        <v>181</v>
      </c>
      <c r="C26" s="15" t="s">
        <v>93</v>
      </c>
      <c r="D26" s="16" t="s">
        <v>390</v>
      </c>
      <c r="E26" s="15" t="s">
        <v>8</v>
      </c>
      <c r="F26" s="15" t="s">
        <v>19</v>
      </c>
      <c r="G26" s="17">
        <f t="shared" si="0"/>
        <v>462</v>
      </c>
      <c r="H26" s="17">
        <f t="shared" si="3"/>
        <v>88</v>
      </c>
      <c r="I26" s="17"/>
      <c r="J26" s="17">
        <v>550</v>
      </c>
      <c r="K26" s="18"/>
      <c r="N26" s="29"/>
      <c r="O26" s="29"/>
      <c r="P26" s="29"/>
      <c r="Q26" s="29"/>
      <c r="R26" s="29"/>
      <c r="S26" s="29"/>
      <c r="T26" s="29"/>
      <c r="U26" s="29"/>
      <c r="V26" s="29"/>
    </row>
    <row r="27" spans="1:22">
      <c r="A27" s="14">
        <v>45975</v>
      </c>
      <c r="B27" s="20" t="s">
        <v>181</v>
      </c>
      <c r="C27" s="20" t="s">
        <v>98</v>
      </c>
      <c r="D27" s="21"/>
      <c r="E27" s="20" t="s">
        <v>8</v>
      </c>
      <c r="F27" s="20" t="s">
        <v>19</v>
      </c>
      <c r="G27" s="17">
        <f t="shared" si="0"/>
        <v>84</v>
      </c>
      <c r="H27" s="17">
        <f t="shared" si="3"/>
        <v>16</v>
      </c>
      <c r="I27" s="22"/>
      <c r="J27" s="22">
        <v>100</v>
      </c>
      <c r="K27" s="18" t="s">
        <v>387</v>
      </c>
      <c r="N27" s="30"/>
      <c r="O27" s="31"/>
      <c r="P27" s="31"/>
      <c r="Q27" s="31"/>
      <c r="R27" s="32"/>
      <c r="S27" s="32"/>
      <c r="T27" s="32"/>
      <c r="U27" s="31"/>
      <c r="V27" s="29"/>
    </row>
    <row r="28" spans="1:22">
      <c r="A28" s="14">
        <v>45976</v>
      </c>
      <c r="B28" s="15" t="s">
        <v>391</v>
      </c>
      <c r="C28" s="15" t="s">
        <v>88</v>
      </c>
      <c r="D28" s="16"/>
      <c r="E28" s="15" t="s">
        <v>8</v>
      </c>
      <c r="F28" s="20" t="s">
        <v>19</v>
      </c>
      <c r="G28" s="17">
        <f t="shared" si="0"/>
        <v>588</v>
      </c>
      <c r="H28" s="17">
        <f t="shared" si="3"/>
        <v>112</v>
      </c>
      <c r="I28" s="17"/>
      <c r="J28" s="17">
        <v>700</v>
      </c>
      <c r="K28" s="18"/>
      <c r="N28" s="30"/>
      <c r="O28" s="31"/>
      <c r="P28" s="31"/>
      <c r="Q28" s="31"/>
      <c r="R28" s="32"/>
      <c r="S28" s="32"/>
      <c r="T28" s="32"/>
      <c r="U28" s="31"/>
      <c r="V28" s="29"/>
    </row>
    <row r="29" spans="1:22">
      <c r="A29" s="14">
        <v>45976</v>
      </c>
      <c r="B29" s="20" t="s">
        <v>263</v>
      </c>
      <c r="C29" s="20" t="s">
        <v>91</v>
      </c>
      <c r="D29" s="21"/>
      <c r="E29" s="20" t="s">
        <v>84</v>
      </c>
      <c r="F29" s="20" t="s">
        <v>85</v>
      </c>
      <c r="G29" s="17">
        <f t="shared" si="0"/>
        <v>504</v>
      </c>
      <c r="H29" s="17">
        <f t="shared" si="3"/>
        <v>96</v>
      </c>
      <c r="I29" s="22"/>
      <c r="J29" s="22">
        <v>600</v>
      </c>
      <c r="K29" s="18"/>
      <c r="N29" s="30"/>
      <c r="O29" s="31"/>
      <c r="P29" s="31"/>
      <c r="Q29" s="31"/>
      <c r="R29" s="32"/>
      <c r="S29" s="32"/>
      <c r="T29" s="32"/>
      <c r="U29" s="31"/>
      <c r="V29" s="29"/>
    </row>
    <row r="30" spans="1:22">
      <c r="A30" s="14">
        <v>45976</v>
      </c>
      <c r="B30" s="15" t="s">
        <v>392</v>
      </c>
      <c r="C30" s="15" t="s">
        <v>16</v>
      </c>
      <c r="D30" s="16"/>
      <c r="E30" s="15" t="s">
        <v>84</v>
      </c>
      <c r="F30" s="20" t="s">
        <v>85</v>
      </c>
      <c r="G30" s="17">
        <f t="shared" si="0"/>
        <v>504</v>
      </c>
      <c r="H30" s="17">
        <f t="shared" si="3"/>
        <v>96</v>
      </c>
      <c r="I30" s="17"/>
      <c r="J30" s="17">
        <v>600</v>
      </c>
      <c r="K30" s="18"/>
      <c r="N30" s="30"/>
      <c r="O30" s="31"/>
      <c r="P30" s="31"/>
      <c r="Q30" s="31"/>
      <c r="R30" s="32"/>
      <c r="S30" s="32"/>
      <c r="T30" s="32"/>
      <c r="U30" s="31"/>
      <c r="V30" s="29"/>
    </row>
    <row r="31" spans="1:22">
      <c r="A31" s="14">
        <v>45976</v>
      </c>
      <c r="B31" s="20" t="s">
        <v>393</v>
      </c>
      <c r="C31" s="20" t="s">
        <v>16</v>
      </c>
      <c r="D31" s="21"/>
      <c r="E31" s="20" t="s">
        <v>8</v>
      </c>
      <c r="F31" s="20" t="s">
        <v>19</v>
      </c>
      <c r="G31" s="17">
        <f t="shared" si="0"/>
        <v>504</v>
      </c>
      <c r="H31" s="17">
        <f t="shared" si="3"/>
        <v>96</v>
      </c>
      <c r="I31" s="22"/>
      <c r="J31" s="22">
        <v>600</v>
      </c>
      <c r="K31" s="18"/>
      <c r="N31" s="30"/>
      <c r="O31" s="31"/>
      <c r="P31" s="31"/>
      <c r="Q31" s="31"/>
      <c r="R31" s="32"/>
      <c r="S31" s="32"/>
      <c r="T31" s="32"/>
      <c r="U31" s="31"/>
      <c r="V31" s="29"/>
    </row>
    <row r="32" spans="1:22">
      <c r="A32" s="14">
        <v>45976</v>
      </c>
      <c r="B32" s="20" t="s">
        <v>393</v>
      </c>
      <c r="C32" s="15" t="s">
        <v>99</v>
      </c>
      <c r="D32" s="16"/>
      <c r="E32" s="15" t="s">
        <v>8</v>
      </c>
      <c r="F32" s="15" t="s">
        <v>19</v>
      </c>
      <c r="G32" s="17">
        <f t="shared" si="0"/>
        <v>252</v>
      </c>
      <c r="H32" s="17">
        <f t="shared" si="3"/>
        <v>48</v>
      </c>
      <c r="I32" s="17"/>
      <c r="J32" s="17">
        <v>300</v>
      </c>
      <c r="K32" s="18"/>
      <c r="N32" s="30"/>
      <c r="O32" s="31"/>
      <c r="P32" s="31"/>
      <c r="Q32" s="31"/>
      <c r="R32" s="32"/>
      <c r="S32" s="32"/>
      <c r="T32" s="32"/>
      <c r="U32" s="31"/>
      <c r="V32" s="29"/>
    </row>
    <row r="33" spans="1:22">
      <c r="A33" s="19">
        <v>45978</v>
      </c>
      <c r="B33" s="20" t="s">
        <v>394</v>
      </c>
      <c r="C33" s="20" t="s">
        <v>16</v>
      </c>
      <c r="D33" s="21"/>
      <c r="E33" s="20" t="s">
        <v>8</v>
      </c>
      <c r="F33" s="20" t="s">
        <v>19</v>
      </c>
      <c r="G33" s="17">
        <f t="shared" si="0"/>
        <v>504</v>
      </c>
      <c r="H33" s="17">
        <f t="shared" si="3"/>
        <v>96</v>
      </c>
      <c r="I33" s="22"/>
      <c r="J33" s="22">
        <v>600</v>
      </c>
      <c r="K33" s="18"/>
      <c r="N33" s="30"/>
      <c r="O33" s="31"/>
      <c r="P33" s="31"/>
      <c r="Q33" s="31"/>
      <c r="R33" s="32"/>
      <c r="S33" s="32"/>
      <c r="T33" s="32"/>
      <c r="U33" s="31"/>
      <c r="V33" s="29"/>
    </row>
    <row r="34" spans="1:22">
      <c r="A34" s="19">
        <v>45978</v>
      </c>
      <c r="B34" s="15" t="s">
        <v>395</v>
      </c>
      <c r="C34" s="15" t="s">
        <v>98</v>
      </c>
      <c r="D34" s="16"/>
      <c r="E34" s="15" t="s">
        <v>8</v>
      </c>
      <c r="F34" s="15" t="s">
        <v>19</v>
      </c>
      <c r="G34" s="17">
        <f t="shared" si="0"/>
        <v>336</v>
      </c>
      <c r="H34" s="17">
        <f t="shared" si="3"/>
        <v>64</v>
      </c>
      <c r="I34" s="17"/>
      <c r="J34" s="17">
        <v>400</v>
      </c>
      <c r="K34" s="18"/>
      <c r="N34" s="30"/>
      <c r="O34" s="31"/>
      <c r="P34" s="31"/>
      <c r="Q34" s="31"/>
      <c r="R34" s="32"/>
      <c r="S34" s="32"/>
      <c r="T34" s="32"/>
      <c r="U34" s="31"/>
      <c r="V34" s="29"/>
    </row>
    <row r="35" spans="1:22">
      <c r="A35" s="19">
        <v>45980</v>
      </c>
      <c r="B35" s="20" t="s">
        <v>388</v>
      </c>
      <c r="C35" s="20" t="s">
        <v>93</v>
      </c>
      <c r="D35" s="21" t="s">
        <v>396</v>
      </c>
      <c r="E35" s="20" t="s">
        <v>8</v>
      </c>
      <c r="F35" s="20" t="s">
        <v>19</v>
      </c>
      <c r="G35" s="17">
        <f t="shared" si="0"/>
        <v>504</v>
      </c>
      <c r="H35" s="17">
        <f t="shared" si="3"/>
        <v>96</v>
      </c>
      <c r="I35" s="22"/>
      <c r="J35" s="22">
        <v>600</v>
      </c>
      <c r="K35" s="18"/>
      <c r="N35" s="30"/>
      <c r="O35" s="31"/>
      <c r="P35" s="31"/>
      <c r="Q35" s="31"/>
      <c r="R35" s="32"/>
      <c r="S35" s="32"/>
      <c r="T35" s="32"/>
      <c r="U35" s="31"/>
      <c r="V35" s="29"/>
    </row>
    <row r="36" spans="1:22">
      <c r="A36" s="19">
        <v>45980</v>
      </c>
      <c r="B36" s="15" t="s">
        <v>397</v>
      </c>
      <c r="C36" s="15" t="s">
        <v>99</v>
      </c>
      <c r="D36" s="16"/>
      <c r="E36" s="15" t="s">
        <v>84</v>
      </c>
      <c r="F36" s="15" t="s">
        <v>85</v>
      </c>
      <c r="G36" s="17">
        <f t="shared" si="0"/>
        <v>462</v>
      </c>
      <c r="H36" s="17">
        <f t="shared" si="3"/>
        <v>88</v>
      </c>
      <c r="I36" s="17"/>
      <c r="J36" s="17">
        <v>550</v>
      </c>
      <c r="K36" s="18"/>
      <c r="N36" s="30"/>
      <c r="O36" s="31"/>
      <c r="P36" s="31"/>
      <c r="Q36" s="31"/>
      <c r="R36" s="32"/>
      <c r="S36" s="32"/>
      <c r="T36" s="32"/>
      <c r="U36" s="31"/>
      <c r="V36" s="29"/>
    </row>
    <row r="37" spans="1:22">
      <c r="A37" s="19">
        <v>45981</v>
      </c>
      <c r="B37" s="20" t="s">
        <v>398</v>
      </c>
      <c r="C37" s="20" t="s">
        <v>16</v>
      </c>
      <c r="D37" s="21"/>
      <c r="E37" s="20" t="s">
        <v>189</v>
      </c>
      <c r="F37" s="20" t="s">
        <v>85</v>
      </c>
      <c r="G37" s="17">
        <f t="shared" si="0"/>
        <v>462</v>
      </c>
      <c r="H37" s="17">
        <f t="shared" si="3"/>
        <v>88</v>
      </c>
      <c r="I37" s="22"/>
      <c r="J37" s="22">
        <v>550</v>
      </c>
      <c r="K37" s="18"/>
      <c r="N37" s="30"/>
      <c r="O37" s="31"/>
      <c r="P37" s="31"/>
      <c r="Q37" s="31"/>
      <c r="R37" s="32"/>
      <c r="S37" s="32"/>
      <c r="T37" s="32"/>
      <c r="U37" s="31"/>
      <c r="V37" s="29"/>
    </row>
    <row r="38" spans="1:22">
      <c r="A38" s="19">
        <v>45981</v>
      </c>
      <c r="B38" s="20" t="s">
        <v>341</v>
      </c>
      <c r="C38" s="20" t="s">
        <v>16</v>
      </c>
      <c r="D38" s="16"/>
      <c r="E38" s="15" t="s">
        <v>8</v>
      </c>
      <c r="F38" s="15" t="s">
        <v>19</v>
      </c>
      <c r="G38" s="17">
        <f t="shared" si="0"/>
        <v>991.2</v>
      </c>
      <c r="H38" s="17">
        <f t="shared" si="3"/>
        <v>188.8</v>
      </c>
      <c r="I38" s="17"/>
      <c r="J38" s="17">
        <v>1180</v>
      </c>
      <c r="K38" s="18"/>
      <c r="N38" s="30"/>
      <c r="O38" s="31"/>
      <c r="P38" s="31"/>
      <c r="Q38" s="31"/>
      <c r="R38" s="32"/>
      <c r="S38" s="32"/>
      <c r="T38" s="32"/>
      <c r="U38" s="31"/>
      <c r="V38" s="29"/>
    </row>
    <row r="39" spans="1:22">
      <c r="A39" s="19">
        <v>45981</v>
      </c>
      <c r="B39" s="20" t="s">
        <v>15</v>
      </c>
      <c r="C39" s="20" t="s">
        <v>99</v>
      </c>
      <c r="D39" s="21" t="s">
        <v>401</v>
      </c>
      <c r="E39" s="20" t="s">
        <v>84</v>
      </c>
      <c r="F39" s="20" t="s">
        <v>85</v>
      </c>
      <c r="G39" s="17">
        <f t="shared" si="0"/>
        <v>294</v>
      </c>
      <c r="H39" s="17">
        <f t="shared" si="3"/>
        <v>56</v>
      </c>
      <c r="I39" s="22"/>
      <c r="J39" s="22">
        <v>350</v>
      </c>
      <c r="K39" s="18"/>
      <c r="N39" s="30"/>
      <c r="O39" s="31"/>
      <c r="P39" s="31"/>
      <c r="Q39" s="31"/>
      <c r="R39" s="32"/>
      <c r="S39" s="32"/>
      <c r="T39" s="32"/>
      <c r="U39" s="31"/>
      <c r="V39" s="29"/>
    </row>
    <row r="40" spans="1:22">
      <c r="A40" s="19">
        <v>45981</v>
      </c>
      <c r="B40" s="20" t="s">
        <v>344</v>
      </c>
      <c r="C40" s="20" t="s">
        <v>16</v>
      </c>
      <c r="D40" s="21"/>
      <c r="E40" s="20" t="s">
        <v>84</v>
      </c>
      <c r="F40" s="20" t="s">
        <v>85</v>
      </c>
      <c r="G40" s="17">
        <f t="shared" si="0"/>
        <v>504</v>
      </c>
      <c r="H40" s="17">
        <f t="shared" si="3"/>
        <v>96</v>
      </c>
      <c r="I40" s="22"/>
      <c r="J40" s="22">
        <v>600</v>
      </c>
      <c r="K40" s="18"/>
      <c r="N40" s="29"/>
      <c r="O40" s="29"/>
      <c r="P40" s="29"/>
      <c r="Q40" s="29"/>
      <c r="R40" s="29"/>
      <c r="S40" s="29"/>
      <c r="T40" s="29"/>
      <c r="U40" s="29"/>
      <c r="V40" s="29"/>
    </row>
    <row r="41" spans="1:22">
      <c r="A41" s="19">
        <v>45981</v>
      </c>
      <c r="B41" s="15" t="s">
        <v>400</v>
      </c>
      <c r="C41" s="15" t="s">
        <v>16</v>
      </c>
      <c r="D41" s="16"/>
      <c r="E41" s="15" t="s">
        <v>84</v>
      </c>
      <c r="F41" s="15" t="s">
        <v>85</v>
      </c>
      <c r="G41" s="17">
        <f t="shared" si="0"/>
        <v>420</v>
      </c>
      <c r="H41" s="17">
        <f t="shared" si="3"/>
        <v>80</v>
      </c>
      <c r="I41" s="17"/>
      <c r="J41" s="17">
        <v>500</v>
      </c>
      <c r="K41" s="18"/>
      <c r="N41" s="29"/>
      <c r="O41" s="29"/>
      <c r="P41" s="29"/>
      <c r="Q41" s="29"/>
      <c r="R41" s="29"/>
      <c r="S41" s="29"/>
      <c r="T41" s="29"/>
      <c r="U41" s="29"/>
      <c r="V41" s="29"/>
    </row>
    <row r="42" spans="1:22">
      <c r="A42" s="19">
        <v>45981</v>
      </c>
      <c r="B42" s="15" t="s">
        <v>400</v>
      </c>
      <c r="C42" s="20" t="s">
        <v>98</v>
      </c>
      <c r="D42" s="21" t="s">
        <v>402</v>
      </c>
      <c r="E42" s="20" t="s">
        <v>84</v>
      </c>
      <c r="F42" s="20" t="s">
        <v>85</v>
      </c>
      <c r="G42" s="17">
        <f t="shared" si="0"/>
        <v>84</v>
      </c>
      <c r="H42" s="17">
        <f t="shared" si="3"/>
        <v>16</v>
      </c>
      <c r="I42" s="22"/>
      <c r="J42" s="22">
        <v>100</v>
      </c>
      <c r="K42" s="18"/>
      <c r="N42" s="29"/>
      <c r="O42" s="29"/>
      <c r="P42" s="29"/>
      <c r="Q42" s="29"/>
      <c r="R42" s="29"/>
      <c r="S42" s="29"/>
      <c r="T42" s="29"/>
      <c r="U42" s="29"/>
      <c r="V42" s="29"/>
    </row>
    <row r="43" spans="1:22">
      <c r="A43" s="14">
        <v>45982</v>
      </c>
      <c r="B43" s="15" t="s">
        <v>403</v>
      </c>
      <c r="C43" s="15" t="s">
        <v>98</v>
      </c>
      <c r="D43" s="16" t="s">
        <v>209</v>
      </c>
      <c r="E43" s="15"/>
      <c r="F43" s="15"/>
      <c r="G43" s="17">
        <f t="shared" si="0"/>
        <v>336</v>
      </c>
      <c r="H43" s="17">
        <f t="shared" si="3"/>
        <v>64</v>
      </c>
      <c r="I43" s="17"/>
      <c r="J43" s="17">
        <v>400</v>
      </c>
      <c r="K43" s="18"/>
      <c r="N43" s="29"/>
      <c r="O43" s="29"/>
      <c r="P43" s="29"/>
      <c r="Q43" s="29"/>
      <c r="R43" s="29"/>
      <c r="S43" s="29"/>
      <c r="T43" s="29"/>
      <c r="U43" s="29"/>
      <c r="V43" s="29"/>
    </row>
    <row r="44" spans="1:22">
      <c r="A44" s="14">
        <v>45982</v>
      </c>
      <c r="B44" s="15" t="s">
        <v>309</v>
      </c>
      <c r="C44" s="15" t="s">
        <v>16</v>
      </c>
      <c r="D44" s="16"/>
      <c r="E44" s="15"/>
      <c r="F44" s="15"/>
      <c r="G44" s="17">
        <f t="shared" si="0"/>
        <v>504</v>
      </c>
      <c r="H44" s="17">
        <f t="shared" si="3"/>
        <v>96</v>
      </c>
      <c r="I44" s="17"/>
      <c r="J44" s="17">
        <v>600</v>
      </c>
      <c r="K44" s="18"/>
    </row>
    <row r="45" spans="1:22">
      <c r="A45" s="14">
        <v>45982</v>
      </c>
      <c r="B45" s="15" t="s">
        <v>309</v>
      </c>
      <c r="C45" s="15" t="s">
        <v>98</v>
      </c>
      <c r="D45" s="21" t="s">
        <v>396</v>
      </c>
      <c r="E45" s="20"/>
      <c r="F45" s="20"/>
      <c r="G45" s="17">
        <f t="shared" si="0"/>
        <v>478.8</v>
      </c>
      <c r="H45" s="17">
        <f t="shared" si="3"/>
        <v>91.2</v>
      </c>
      <c r="I45" s="22"/>
      <c r="J45" s="22">
        <v>570</v>
      </c>
      <c r="K45" s="18"/>
    </row>
    <row r="46" spans="1:22">
      <c r="A46" s="14">
        <v>45983</v>
      </c>
      <c r="B46" s="15" t="s">
        <v>351</v>
      </c>
      <c r="C46" s="15" t="s">
        <v>16</v>
      </c>
      <c r="D46" s="16"/>
      <c r="E46" s="15"/>
      <c r="F46" s="15"/>
      <c r="G46" s="17">
        <f t="shared" si="0"/>
        <v>504</v>
      </c>
      <c r="H46" s="17">
        <f t="shared" si="3"/>
        <v>96</v>
      </c>
      <c r="I46" s="17"/>
      <c r="J46" s="17">
        <v>600</v>
      </c>
      <c r="K46" s="18"/>
    </row>
    <row r="47" spans="1:22">
      <c r="A47" s="19">
        <v>45984</v>
      </c>
      <c r="B47" s="20" t="s">
        <v>281</v>
      </c>
      <c r="C47" s="20" t="s">
        <v>16</v>
      </c>
      <c r="D47" s="21"/>
      <c r="E47" s="20"/>
      <c r="F47" s="20"/>
      <c r="G47" s="17">
        <f t="shared" si="0"/>
        <v>504</v>
      </c>
      <c r="H47" s="17">
        <f t="shared" si="3"/>
        <v>96</v>
      </c>
      <c r="I47" s="22"/>
      <c r="J47" s="22">
        <v>600</v>
      </c>
      <c r="K47" s="18"/>
    </row>
    <row r="48" spans="1:22">
      <c r="A48" s="19">
        <v>45984</v>
      </c>
      <c r="B48" s="15" t="s">
        <v>322</v>
      </c>
      <c r="C48" s="15" t="s">
        <v>99</v>
      </c>
      <c r="D48" s="16" t="s">
        <v>404</v>
      </c>
      <c r="E48" s="15"/>
      <c r="F48" s="15"/>
      <c r="G48" s="17">
        <f t="shared" si="0"/>
        <v>504</v>
      </c>
      <c r="H48" s="17">
        <f t="shared" si="3"/>
        <v>96</v>
      </c>
      <c r="I48" s="17"/>
      <c r="J48" s="17">
        <v>600</v>
      </c>
      <c r="K48" s="18"/>
    </row>
    <row r="49" spans="1:21">
      <c r="A49" s="19">
        <v>45984</v>
      </c>
      <c r="B49" s="20" t="s">
        <v>322</v>
      </c>
      <c r="C49" s="20" t="s">
        <v>16</v>
      </c>
      <c r="D49" s="21"/>
      <c r="E49" s="20"/>
      <c r="F49" s="20"/>
      <c r="G49" s="17">
        <f t="shared" si="0"/>
        <v>504</v>
      </c>
      <c r="H49" s="17">
        <f t="shared" si="3"/>
        <v>96</v>
      </c>
      <c r="I49" s="22"/>
      <c r="J49" s="22">
        <v>600</v>
      </c>
      <c r="K49" s="18"/>
    </row>
    <row r="50" spans="1:21">
      <c r="A50" s="19">
        <v>45984</v>
      </c>
      <c r="B50" s="20" t="s">
        <v>322</v>
      </c>
      <c r="C50" s="15" t="s">
        <v>98</v>
      </c>
      <c r="D50" s="16"/>
      <c r="E50" s="15"/>
      <c r="F50" s="15"/>
      <c r="G50" s="17">
        <f t="shared" si="0"/>
        <v>84</v>
      </c>
      <c r="H50" s="17">
        <f t="shared" si="3"/>
        <v>16</v>
      </c>
      <c r="I50" s="17"/>
      <c r="J50" s="17">
        <v>100</v>
      </c>
      <c r="K50" s="18" t="s">
        <v>387</v>
      </c>
      <c r="N50" s="30"/>
      <c r="O50" s="31"/>
      <c r="P50" s="31"/>
      <c r="Q50" s="31"/>
      <c r="R50" s="32"/>
      <c r="S50" s="32"/>
      <c r="T50" s="32"/>
      <c r="U50" s="31"/>
    </row>
    <row r="51" spans="1:21">
      <c r="A51" s="19">
        <v>45986</v>
      </c>
      <c r="B51" s="20" t="s">
        <v>286</v>
      </c>
      <c r="C51" s="20" t="s">
        <v>16</v>
      </c>
      <c r="D51" s="21"/>
      <c r="E51" s="20"/>
      <c r="F51" s="20"/>
      <c r="G51" s="17">
        <f t="shared" si="0"/>
        <v>840</v>
      </c>
      <c r="H51" s="17">
        <f t="shared" si="3"/>
        <v>160</v>
      </c>
      <c r="I51" s="22"/>
      <c r="J51" s="22">
        <v>1000</v>
      </c>
      <c r="K51" s="18"/>
      <c r="N51" s="30"/>
      <c r="O51" s="31"/>
      <c r="P51" s="31"/>
      <c r="Q51" s="31"/>
      <c r="R51" s="32"/>
      <c r="S51" s="32"/>
      <c r="T51" s="32"/>
      <c r="U51" s="31"/>
    </row>
    <row r="52" spans="1:21">
      <c r="A52" s="19">
        <v>45987</v>
      </c>
      <c r="B52" s="20" t="s">
        <v>327</v>
      </c>
      <c r="C52" s="20" t="s">
        <v>16</v>
      </c>
      <c r="D52" s="21"/>
      <c r="E52" s="20" t="s">
        <v>84</v>
      </c>
      <c r="F52" s="20"/>
      <c r="G52" s="17">
        <f t="shared" si="0"/>
        <v>504</v>
      </c>
      <c r="H52" s="17">
        <f t="shared" si="3"/>
        <v>96</v>
      </c>
      <c r="I52" s="22"/>
      <c r="J52" s="22">
        <v>600</v>
      </c>
      <c r="K52" s="18"/>
      <c r="N52" s="30"/>
      <c r="O52" s="31"/>
      <c r="P52" s="31"/>
      <c r="Q52" s="31"/>
      <c r="R52" s="32"/>
      <c r="S52" s="32"/>
      <c r="T52" s="32"/>
      <c r="U52" s="31"/>
    </row>
    <row r="53" spans="1:21">
      <c r="A53" s="19">
        <v>45987</v>
      </c>
      <c r="B53" s="20" t="s">
        <v>343</v>
      </c>
      <c r="C53" s="20" t="s">
        <v>16</v>
      </c>
      <c r="D53" s="21"/>
      <c r="E53" s="20"/>
      <c r="F53" s="20"/>
      <c r="G53" s="17">
        <f t="shared" si="0"/>
        <v>504</v>
      </c>
      <c r="H53" s="17">
        <f t="shared" si="3"/>
        <v>96</v>
      </c>
      <c r="I53" s="22"/>
      <c r="J53" s="22">
        <v>600</v>
      </c>
      <c r="K53" s="18"/>
      <c r="N53" s="30"/>
      <c r="O53" s="31"/>
      <c r="P53" s="31"/>
      <c r="Q53" s="31"/>
      <c r="R53" s="32"/>
      <c r="S53" s="32"/>
      <c r="T53" s="32"/>
      <c r="U53" s="31"/>
    </row>
    <row r="54" spans="1:21">
      <c r="A54" s="19">
        <v>45989</v>
      </c>
      <c r="B54" s="20" t="s">
        <v>301</v>
      </c>
      <c r="C54" s="20" t="s">
        <v>16</v>
      </c>
      <c r="D54" s="21"/>
      <c r="E54" s="20"/>
      <c r="F54" s="20"/>
      <c r="G54" s="17">
        <f t="shared" si="0"/>
        <v>504</v>
      </c>
      <c r="H54" s="17">
        <f t="shared" si="3"/>
        <v>96</v>
      </c>
      <c r="I54" s="22"/>
      <c r="J54" s="22">
        <v>600</v>
      </c>
      <c r="K54" s="18"/>
      <c r="N54" s="30"/>
      <c r="O54" s="31"/>
      <c r="P54" s="31"/>
      <c r="Q54" s="31"/>
      <c r="R54" s="32"/>
      <c r="S54" s="32"/>
      <c r="T54" s="32"/>
      <c r="U54" s="31"/>
    </row>
    <row r="55" spans="1:21">
      <c r="A55" s="19"/>
      <c r="B55" s="20"/>
      <c r="C55" s="20"/>
      <c r="D55" s="21"/>
      <c r="E55" s="20"/>
      <c r="F55" s="20"/>
      <c r="G55" s="17">
        <f t="shared" si="0"/>
        <v>504</v>
      </c>
      <c r="H55" s="17">
        <f t="shared" si="3"/>
        <v>96</v>
      </c>
      <c r="I55" s="22"/>
      <c r="J55" s="22">
        <v>600</v>
      </c>
      <c r="K55" s="18"/>
      <c r="N55" s="30"/>
      <c r="O55" s="31"/>
      <c r="P55" s="31"/>
      <c r="Q55" s="31"/>
      <c r="R55" s="32"/>
      <c r="S55" s="32"/>
      <c r="T55" s="32"/>
      <c r="U55" s="31"/>
    </row>
    <row r="56" spans="1:21">
      <c r="A56" s="19"/>
      <c r="B56" s="20"/>
      <c r="C56" s="20"/>
      <c r="D56" s="21"/>
      <c r="E56" s="20"/>
      <c r="F56" s="20"/>
      <c r="G56" s="22"/>
      <c r="H56" s="22"/>
      <c r="I56" s="22"/>
      <c r="J56" s="22"/>
      <c r="K56" s="18"/>
      <c r="N56" s="30"/>
      <c r="O56" s="31"/>
      <c r="P56" s="31"/>
      <c r="Q56" s="31"/>
      <c r="R56" s="32"/>
      <c r="S56" s="32"/>
      <c r="T56" s="32"/>
      <c r="U56" s="31"/>
    </row>
    <row r="57" spans="1:21">
      <c r="A57" s="19"/>
      <c r="B57" s="20"/>
      <c r="C57" s="20"/>
      <c r="D57" s="21"/>
      <c r="E57" s="20"/>
      <c r="F57" s="20"/>
      <c r="G57" s="22"/>
      <c r="H57" s="22"/>
      <c r="I57" s="22"/>
      <c r="J57" s="22"/>
      <c r="K57" s="18"/>
      <c r="N57" s="30"/>
      <c r="O57" s="31"/>
      <c r="P57" s="31"/>
      <c r="Q57" s="31"/>
      <c r="R57" s="32"/>
      <c r="S57" s="32"/>
      <c r="T57" s="32"/>
      <c r="U57" s="31"/>
    </row>
    <row r="58" spans="1:21">
      <c r="A58" s="19"/>
      <c r="B58" s="20"/>
      <c r="C58" s="20"/>
      <c r="D58" s="21"/>
      <c r="E58" s="20"/>
      <c r="F58" s="20"/>
      <c r="G58" s="22"/>
      <c r="H58" s="22"/>
      <c r="I58" s="22"/>
      <c r="J58" s="22"/>
      <c r="K58" s="18"/>
      <c r="N58" s="30"/>
      <c r="O58" s="31"/>
      <c r="P58" s="31"/>
      <c r="Q58" s="31"/>
      <c r="R58" s="32"/>
      <c r="S58" s="32"/>
      <c r="T58" s="32"/>
      <c r="U58" s="31"/>
    </row>
    <row r="59" spans="1:21">
      <c r="A59" s="19"/>
      <c r="B59" s="20"/>
      <c r="C59" s="20"/>
      <c r="D59" s="21"/>
      <c r="E59" s="20"/>
      <c r="F59" s="20"/>
      <c r="G59" s="22"/>
      <c r="H59" s="22"/>
      <c r="I59" s="22"/>
      <c r="J59" s="22"/>
      <c r="K59" s="18"/>
    </row>
    <row r="60" spans="1:21">
      <c r="A60" s="19"/>
      <c r="B60" s="20"/>
      <c r="C60" s="20"/>
      <c r="D60" s="21"/>
      <c r="E60" s="20"/>
      <c r="F60" s="20"/>
      <c r="G60" s="22"/>
      <c r="H60" s="22"/>
      <c r="I60" s="22"/>
      <c r="J60" s="22"/>
      <c r="K60" s="18"/>
    </row>
  </sheetData>
  <mergeCells count="4">
    <mergeCell ref="D4:E4"/>
    <mergeCell ref="A6:B6"/>
    <mergeCell ref="A14:K14"/>
    <mergeCell ref="N14:U14"/>
  </mergeCells>
  <dataValidations count="4">
    <dataValidation type="list" allowBlank="1" showInputMessage="1" showErrorMessage="1" sqref="E15 P15" xr:uid="{BBC408A9-E6FC-7D46-AD20-38B9EEDE37F7}">
      <formula1>"Efectivo, Transferencia, Tarjeta"</formula1>
    </dataValidation>
    <dataValidation type="list" allowBlank="1" showInputMessage="1" showErrorMessage="1" sqref="E16:E60 P16:P24 P27:P39 P50:P58" xr:uid="{29BFE65C-5003-AC49-AFD0-55FA9AA8D827}">
      <formula1>"Efectivo,Transferencia,Tarjeta"</formula1>
    </dataValidation>
    <dataValidation type="list" allowBlank="1" showInputMessage="1" showErrorMessage="1" sqref="F16:F60 Q16:Q24 Q27:Q39 Q50:Q58" xr:uid="{E9439D4A-5EC3-9B40-8689-7FFFE42040C8}">
      <formula1>"BBVA Alo, Caja"</formula1>
    </dataValidation>
    <dataValidation type="list" allowBlank="1" showInputMessage="1" showErrorMessage="1" sqref="C16:C60" xr:uid="{DA0F0AC9-B574-3546-9443-A7A76FA47DEF}">
      <formula1>"Limpieza Profunda, Anti-acné, PRODUCTO, Depilación Láser, Facial despigmentante, Lifting facial, Dermapen, Otro"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BD7A-7062-DB40-9D22-885E56537A60}">
  <dimension ref="A1:V60"/>
  <sheetViews>
    <sheetView workbookViewId="0">
      <selection activeCell="C52" sqref="C52"/>
    </sheetView>
  </sheetViews>
  <sheetFormatPr baseColWidth="10" defaultRowHeight="15"/>
  <cols>
    <col min="1" max="1" width="19.6640625" customWidth="1"/>
    <col min="2" max="2" width="17.6640625" customWidth="1"/>
    <col min="3" max="3" width="18.6640625" bestFit="1" customWidth="1"/>
    <col min="4" max="4" width="22.1640625" style="8" customWidth="1"/>
    <col min="5" max="5" width="19.1640625" customWidth="1"/>
    <col min="6" max="6" width="21" customWidth="1"/>
    <col min="7" max="7" width="12.1640625" customWidth="1"/>
    <col min="9" max="9" width="14.33203125" customWidth="1"/>
    <col min="11" max="11" width="13" customWidth="1"/>
    <col min="12" max="13" width="3.1640625" customWidth="1"/>
    <col min="14" max="14" width="14.33203125" customWidth="1"/>
    <col min="15" max="15" width="19.1640625" customWidth="1"/>
    <col min="16" max="16" width="15.83203125" bestFit="1" customWidth="1"/>
    <col min="17" max="17" width="17.6640625" bestFit="1" customWidth="1"/>
    <col min="18" max="18" width="10.5" bestFit="1" customWidth="1"/>
  </cols>
  <sheetData>
    <row r="1" spans="1:21" ht="54" customHeight="1">
      <c r="A1" s="10"/>
      <c r="B1" s="10"/>
    </row>
    <row r="2" spans="1:21" ht="42" customHeight="1">
      <c r="A2" s="10"/>
      <c r="B2" s="10"/>
      <c r="E2" s="9"/>
    </row>
    <row r="3" spans="1:21">
      <c r="A3" s="6"/>
      <c r="B3" s="7"/>
    </row>
    <row r="4" spans="1:21" ht="42">
      <c r="A4" s="23" t="s">
        <v>75</v>
      </c>
      <c r="B4" s="24" t="s">
        <v>24</v>
      </c>
      <c r="D4" s="91" t="s">
        <v>86</v>
      </c>
      <c r="E4" s="91"/>
    </row>
    <row r="5" spans="1:21" ht="16">
      <c r="D5" s="26" t="s">
        <v>87</v>
      </c>
      <c r="E5" s="27">
        <f>SUMIF(C$15:C$196, "Limpieza profunda", J$15:J$1048576)</f>
        <v>13550</v>
      </c>
    </row>
    <row r="6" spans="1:21" ht="18">
      <c r="A6" s="92" t="s">
        <v>76</v>
      </c>
      <c r="B6" s="92"/>
      <c r="D6" s="26" t="s">
        <v>88</v>
      </c>
      <c r="E6" s="27">
        <f>SUMIF(C$15:C$196, "Anti-acné", J$15:J$1048576)</f>
        <v>2100</v>
      </c>
    </row>
    <row r="7" spans="1:21" ht="18">
      <c r="A7" s="25" t="s">
        <v>82</v>
      </c>
      <c r="B7" s="33">
        <f>SUM(J16:J54)</f>
        <v>21300</v>
      </c>
      <c r="D7" s="26" t="s">
        <v>90</v>
      </c>
      <c r="E7" s="27">
        <f>SUMIF(C$15:C$196, "Depilación Láser", J$15:J$1048576)</f>
        <v>4030</v>
      </c>
    </row>
    <row r="8" spans="1:21" ht="18">
      <c r="A8" s="25" t="s">
        <v>83</v>
      </c>
      <c r="B8" s="33">
        <f>SUM(T16:T23)</f>
        <v>22244</v>
      </c>
      <c r="D8" s="26" t="s">
        <v>91</v>
      </c>
      <c r="E8" s="27">
        <f>SUMIF(C$15:C$196, "Facial despigmentante", J$15:J$1048576)</f>
        <v>600</v>
      </c>
    </row>
    <row r="9" spans="1:21" ht="16">
      <c r="D9" s="26" t="s">
        <v>58</v>
      </c>
      <c r="E9" s="27">
        <f>SUMIF(C$15:C$196, "Dermapen", J$15:J$1048576)</f>
        <v>0</v>
      </c>
    </row>
    <row r="10" spans="1:21" ht="16">
      <c r="B10" s="77">
        <f>B7-B8</f>
        <v>-944</v>
      </c>
      <c r="D10" s="26" t="s">
        <v>92</v>
      </c>
      <c r="E10" s="27">
        <f>SUMIF(C$15:C$196, "Lifting facial", J$15:J$1048576)</f>
        <v>0</v>
      </c>
    </row>
    <row r="11" spans="1:21" ht="16">
      <c r="D11" s="26" t="s">
        <v>89</v>
      </c>
      <c r="E11" s="27">
        <f>SUMIF(C$15:C$196, "PRODUCTO", J$15:J$1048576)</f>
        <v>870</v>
      </c>
    </row>
    <row r="12" spans="1:21" ht="16">
      <c r="D12" s="26" t="s">
        <v>98</v>
      </c>
      <c r="E12" s="27">
        <f>SUMIF(C$15:C$196, "Otro", J$15:J$1048576)</f>
        <v>2950</v>
      </c>
    </row>
    <row r="13" spans="1:21">
      <c r="E13" s="2"/>
    </row>
    <row r="14" spans="1:21" ht="32" customHeight="1">
      <c r="A14" s="93" t="s">
        <v>94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N14" s="94" t="s">
        <v>96</v>
      </c>
      <c r="O14" s="94"/>
      <c r="P14" s="94"/>
      <c r="Q14" s="94"/>
      <c r="R14" s="94"/>
      <c r="S14" s="94"/>
      <c r="T14" s="94"/>
      <c r="U14" s="94"/>
    </row>
    <row r="15" spans="1:21" ht="16">
      <c r="A15" s="12" t="s">
        <v>81</v>
      </c>
      <c r="B15" s="12" t="s">
        <v>78</v>
      </c>
      <c r="C15" s="12" t="s">
        <v>97</v>
      </c>
      <c r="D15" s="13" t="s">
        <v>77</v>
      </c>
      <c r="E15" s="12" t="s">
        <v>79</v>
      </c>
      <c r="F15" s="12" t="s">
        <v>80</v>
      </c>
      <c r="G15" s="12" t="s">
        <v>2</v>
      </c>
      <c r="H15" s="12" t="s">
        <v>1</v>
      </c>
      <c r="I15" s="12" t="s">
        <v>3</v>
      </c>
      <c r="J15" s="12" t="s">
        <v>4</v>
      </c>
      <c r="K15" s="12" t="s">
        <v>95</v>
      </c>
      <c r="N15" s="28" t="s">
        <v>81</v>
      </c>
      <c r="O15" s="28" t="s">
        <v>5</v>
      </c>
      <c r="P15" s="28" t="s">
        <v>79</v>
      </c>
      <c r="Q15" s="28" t="s">
        <v>80</v>
      </c>
      <c r="R15" s="28" t="s">
        <v>2</v>
      </c>
      <c r="S15" s="28" t="s">
        <v>1</v>
      </c>
      <c r="T15" s="28" t="s">
        <v>4</v>
      </c>
      <c r="U15" s="28" t="s">
        <v>95</v>
      </c>
    </row>
    <row r="16" spans="1:21">
      <c r="A16" s="14">
        <v>45932</v>
      </c>
      <c r="B16" s="15" t="s">
        <v>301</v>
      </c>
      <c r="C16" s="15" t="s">
        <v>16</v>
      </c>
      <c r="D16" s="16"/>
      <c r="E16" s="15" t="s">
        <v>8</v>
      </c>
      <c r="F16" s="15" t="s">
        <v>19</v>
      </c>
      <c r="G16" s="17">
        <f t="shared" ref="G16:G51" si="0">J16-H16</f>
        <v>504</v>
      </c>
      <c r="H16" s="17">
        <f t="shared" ref="H16:H51" si="1">J16*0.16</f>
        <v>96</v>
      </c>
      <c r="I16" s="17">
        <v>0</v>
      </c>
      <c r="J16" s="17">
        <v>600</v>
      </c>
      <c r="K16" s="18"/>
      <c r="N16" s="14">
        <v>45834</v>
      </c>
      <c r="O16" s="15" t="s">
        <v>261</v>
      </c>
      <c r="P16" s="15" t="s">
        <v>8</v>
      </c>
      <c r="Q16" s="15" t="s">
        <v>19</v>
      </c>
      <c r="R16" s="17">
        <f t="shared" ref="R16:R22" si="2">T16-S16</f>
        <v>294</v>
      </c>
      <c r="S16" s="17">
        <f t="shared" ref="S16:S22" si="3">T16*0.16</f>
        <v>56</v>
      </c>
      <c r="T16" s="17">
        <v>350</v>
      </c>
      <c r="U16" s="18"/>
    </row>
    <row r="17" spans="1:22">
      <c r="A17" s="14">
        <v>45932</v>
      </c>
      <c r="B17" s="20"/>
      <c r="C17" s="20" t="s">
        <v>98</v>
      </c>
      <c r="D17" s="21" t="s">
        <v>249</v>
      </c>
      <c r="E17" s="20" t="s">
        <v>84</v>
      </c>
      <c r="F17" s="20" t="s">
        <v>85</v>
      </c>
      <c r="G17" s="22">
        <f t="shared" si="0"/>
        <v>504</v>
      </c>
      <c r="H17" s="22">
        <f t="shared" si="1"/>
        <v>96</v>
      </c>
      <c r="I17" s="22">
        <v>0</v>
      </c>
      <c r="J17" s="22">
        <v>600</v>
      </c>
      <c r="K17" s="18"/>
      <c r="N17" s="19"/>
      <c r="O17" s="20" t="s">
        <v>285</v>
      </c>
      <c r="P17" s="20" t="s">
        <v>84</v>
      </c>
      <c r="Q17" s="20" t="s">
        <v>19</v>
      </c>
      <c r="R17" s="22">
        <f t="shared" si="2"/>
        <v>6720</v>
      </c>
      <c r="S17" s="22">
        <f t="shared" si="3"/>
        <v>1280</v>
      </c>
      <c r="T17" s="22">
        <v>8000</v>
      </c>
      <c r="U17" s="18"/>
    </row>
    <row r="18" spans="1:22">
      <c r="A18" s="14">
        <v>45932</v>
      </c>
      <c r="B18" s="15" t="s">
        <v>313</v>
      </c>
      <c r="C18" s="15" t="s">
        <v>16</v>
      </c>
      <c r="D18" s="16"/>
      <c r="E18" s="15" t="s">
        <v>84</v>
      </c>
      <c r="F18" s="15" t="s">
        <v>85</v>
      </c>
      <c r="G18" s="17">
        <f t="shared" si="0"/>
        <v>462</v>
      </c>
      <c r="H18" s="17">
        <f t="shared" si="1"/>
        <v>88</v>
      </c>
      <c r="I18" s="17">
        <v>0</v>
      </c>
      <c r="J18" s="17">
        <v>550</v>
      </c>
      <c r="K18" s="18"/>
      <c r="N18" s="14"/>
      <c r="O18" s="15" t="s">
        <v>342</v>
      </c>
      <c r="P18" s="15" t="s">
        <v>84</v>
      </c>
      <c r="Q18" s="15" t="s">
        <v>19</v>
      </c>
      <c r="R18" s="17">
        <f t="shared" si="2"/>
        <v>252</v>
      </c>
      <c r="S18" s="17">
        <f t="shared" si="3"/>
        <v>48</v>
      </c>
      <c r="T18" s="17">
        <v>300</v>
      </c>
      <c r="U18" s="18"/>
    </row>
    <row r="19" spans="1:22">
      <c r="A19" s="14">
        <v>45932</v>
      </c>
      <c r="B19" s="20" t="s">
        <v>314</v>
      </c>
      <c r="C19" s="20" t="s">
        <v>16</v>
      </c>
      <c r="D19" s="21"/>
      <c r="E19" s="20" t="s">
        <v>8</v>
      </c>
      <c r="F19" s="20" t="s">
        <v>19</v>
      </c>
      <c r="G19" s="22">
        <f t="shared" si="0"/>
        <v>504</v>
      </c>
      <c r="H19" s="22">
        <f t="shared" si="1"/>
        <v>96</v>
      </c>
      <c r="I19" s="22">
        <v>0</v>
      </c>
      <c r="J19" s="22">
        <v>600</v>
      </c>
      <c r="K19" s="18"/>
      <c r="N19" s="14"/>
      <c r="O19" s="15" t="s">
        <v>349</v>
      </c>
      <c r="P19" s="15" t="s">
        <v>8</v>
      </c>
      <c r="Q19" s="15" t="s">
        <v>14</v>
      </c>
      <c r="R19" s="17">
        <f t="shared" si="2"/>
        <v>252</v>
      </c>
      <c r="S19" s="17">
        <f t="shared" si="3"/>
        <v>48</v>
      </c>
      <c r="T19" s="17">
        <v>300</v>
      </c>
      <c r="U19" s="18"/>
    </row>
    <row r="20" spans="1:22">
      <c r="A20" s="14">
        <v>45933</v>
      </c>
      <c r="B20" s="15" t="s">
        <v>315</v>
      </c>
      <c r="C20" s="15" t="s">
        <v>88</v>
      </c>
      <c r="D20" s="16"/>
      <c r="E20" s="15" t="s">
        <v>8</v>
      </c>
      <c r="F20" s="15" t="s">
        <v>19</v>
      </c>
      <c r="G20" s="17">
        <f t="shared" si="0"/>
        <v>588</v>
      </c>
      <c r="H20" s="17">
        <f t="shared" si="1"/>
        <v>112</v>
      </c>
      <c r="I20" s="17">
        <v>0</v>
      </c>
      <c r="J20" s="17">
        <v>700</v>
      </c>
      <c r="K20" s="18"/>
      <c r="N20" s="19"/>
      <c r="O20" s="20" t="s">
        <v>357</v>
      </c>
      <c r="P20" s="20" t="s">
        <v>8</v>
      </c>
      <c r="Q20" s="20" t="s">
        <v>14</v>
      </c>
      <c r="R20" s="22">
        <f t="shared" si="2"/>
        <v>1764</v>
      </c>
      <c r="S20" s="22">
        <f t="shared" si="3"/>
        <v>336</v>
      </c>
      <c r="T20" s="22">
        <v>2100</v>
      </c>
      <c r="U20" s="18"/>
    </row>
    <row r="21" spans="1:22">
      <c r="A21" s="14">
        <v>45933</v>
      </c>
      <c r="B21" s="15" t="s">
        <v>315</v>
      </c>
      <c r="C21" s="20" t="s">
        <v>98</v>
      </c>
      <c r="D21" s="21" t="s">
        <v>316</v>
      </c>
      <c r="E21" s="20" t="s">
        <v>8</v>
      </c>
      <c r="F21" s="20" t="s">
        <v>19</v>
      </c>
      <c r="G21" s="22">
        <f t="shared" si="0"/>
        <v>462</v>
      </c>
      <c r="H21" s="22">
        <f t="shared" si="1"/>
        <v>88</v>
      </c>
      <c r="I21" s="22">
        <v>0</v>
      </c>
      <c r="J21" s="22">
        <v>550</v>
      </c>
      <c r="K21" s="18"/>
      <c r="N21" s="14"/>
      <c r="O21" s="15" t="s">
        <v>358</v>
      </c>
      <c r="P21" s="15" t="s">
        <v>84</v>
      </c>
      <c r="Q21" s="15" t="s">
        <v>14</v>
      </c>
      <c r="R21" s="17">
        <f t="shared" si="2"/>
        <v>3642.24</v>
      </c>
      <c r="S21" s="17">
        <f t="shared" si="3"/>
        <v>693.76</v>
      </c>
      <c r="T21" s="17">
        <v>4336</v>
      </c>
      <c r="U21" s="18"/>
    </row>
    <row r="22" spans="1:22">
      <c r="A22" s="14">
        <v>45934</v>
      </c>
      <c r="B22" s="15" t="s">
        <v>263</v>
      </c>
      <c r="C22" s="15" t="s">
        <v>91</v>
      </c>
      <c r="D22" s="16"/>
      <c r="E22" s="15" t="s">
        <v>84</v>
      </c>
      <c r="F22" s="15" t="s">
        <v>85</v>
      </c>
      <c r="G22" s="17">
        <f t="shared" si="0"/>
        <v>504</v>
      </c>
      <c r="H22" s="17">
        <f t="shared" si="1"/>
        <v>96</v>
      </c>
      <c r="I22" s="17">
        <v>0</v>
      </c>
      <c r="J22" s="17">
        <v>600</v>
      </c>
      <c r="K22" s="18" t="s">
        <v>325</v>
      </c>
      <c r="N22" s="19"/>
      <c r="O22" s="20" t="s">
        <v>72</v>
      </c>
      <c r="P22" s="20" t="s">
        <v>8</v>
      </c>
      <c r="Q22" s="20" t="s">
        <v>14</v>
      </c>
      <c r="R22" s="22">
        <f t="shared" si="2"/>
        <v>2100</v>
      </c>
      <c r="S22" s="22">
        <f t="shared" si="3"/>
        <v>400</v>
      </c>
      <c r="T22" s="22">
        <v>2500</v>
      </c>
      <c r="U22" s="18"/>
    </row>
    <row r="23" spans="1:22">
      <c r="A23" s="14">
        <v>45934</v>
      </c>
      <c r="B23" s="20" t="s">
        <v>321</v>
      </c>
      <c r="C23" s="20" t="s">
        <v>16</v>
      </c>
      <c r="D23" s="21"/>
      <c r="E23" s="20" t="s">
        <v>84</v>
      </c>
      <c r="F23" s="20" t="s">
        <v>85</v>
      </c>
      <c r="G23" s="22">
        <f t="shared" si="0"/>
        <v>504</v>
      </c>
      <c r="H23" s="22">
        <f t="shared" si="1"/>
        <v>96</v>
      </c>
      <c r="I23" s="22">
        <v>0</v>
      </c>
      <c r="J23" s="22">
        <v>600</v>
      </c>
      <c r="K23" s="18"/>
      <c r="N23" s="19"/>
      <c r="O23" s="20" t="s">
        <v>359</v>
      </c>
      <c r="P23" s="20" t="s">
        <v>8</v>
      </c>
      <c r="Q23" s="20" t="s">
        <v>14</v>
      </c>
      <c r="R23" s="22">
        <f>T23-S23</f>
        <v>3660.7200000000003</v>
      </c>
      <c r="S23" s="22">
        <f>T23*0.16</f>
        <v>697.28</v>
      </c>
      <c r="T23" s="22">
        <v>4358</v>
      </c>
      <c r="U23" s="18"/>
    </row>
    <row r="24" spans="1:22">
      <c r="A24" s="14">
        <v>45934</v>
      </c>
      <c r="B24" s="15" t="s">
        <v>322</v>
      </c>
      <c r="C24" s="15" t="s">
        <v>99</v>
      </c>
      <c r="D24" s="16" t="s">
        <v>323</v>
      </c>
      <c r="E24" s="15" t="s">
        <v>8</v>
      </c>
      <c r="F24" s="15" t="s">
        <v>19</v>
      </c>
      <c r="G24" s="17">
        <f t="shared" si="0"/>
        <v>361.2</v>
      </c>
      <c r="H24" s="17">
        <f t="shared" si="1"/>
        <v>68.8</v>
      </c>
      <c r="I24" s="17">
        <v>0</v>
      </c>
      <c r="J24" s="17">
        <v>430</v>
      </c>
      <c r="K24" s="18" t="s">
        <v>326</v>
      </c>
    </row>
    <row r="25" spans="1:22">
      <c r="A25" s="14">
        <v>45934</v>
      </c>
      <c r="B25" s="20" t="s">
        <v>324</v>
      </c>
      <c r="C25" s="20" t="s">
        <v>99</v>
      </c>
      <c r="D25" s="21"/>
      <c r="E25" s="20" t="s">
        <v>84</v>
      </c>
      <c r="F25" s="20" t="s">
        <v>85</v>
      </c>
      <c r="G25" s="22">
        <f t="shared" si="0"/>
        <v>462</v>
      </c>
      <c r="H25" s="22">
        <f t="shared" si="1"/>
        <v>88</v>
      </c>
      <c r="I25" s="22">
        <v>0</v>
      </c>
      <c r="J25" s="22">
        <v>550</v>
      </c>
      <c r="K25" s="18">
        <v>50</v>
      </c>
      <c r="N25" s="29"/>
      <c r="O25" s="29"/>
      <c r="P25" s="29"/>
      <c r="Q25" s="29"/>
      <c r="R25" s="29"/>
      <c r="S25" s="29"/>
      <c r="T25" s="29"/>
      <c r="U25" s="29"/>
      <c r="V25" s="29"/>
    </row>
    <row r="26" spans="1:22">
      <c r="A26" s="14">
        <v>45938</v>
      </c>
      <c r="B26" s="15" t="s">
        <v>327</v>
      </c>
      <c r="C26" s="15" t="s">
        <v>16</v>
      </c>
      <c r="D26" s="16"/>
      <c r="E26" s="15" t="s">
        <v>84</v>
      </c>
      <c r="F26" s="15" t="s">
        <v>85</v>
      </c>
      <c r="G26" s="17">
        <f t="shared" si="0"/>
        <v>504</v>
      </c>
      <c r="H26" s="17">
        <f t="shared" si="1"/>
        <v>96</v>
      </c>
      <c r="I26" s="17">
        <v>0</v>
      </c>
      <c r="J26" s="17">
        <v>600</v>
      </c>
      <c r="K26" s="18"/>
      <c r="N26" s="29"/>
      <c r="O26" s="29"/>
      <c r="P26" s="29"/>
      <c r="Q26" s="29"/>
      <c r="R26" s="29"/>
      <c r="S26" s="29"/>
      <c r="T26" s="29"/>
      <c r="U26" s="29"/>
      <c r="V26" s="29"/>
    </row>
    <row r="27" spans="1:22">
      <c r="A27" s="14">
        <v>45938</v>
      </c>
      <c r="B27" s="20" t="s">
        <v>296</v>
      </c>
      <c r="C27" s="20" t="s">
        <v>99</v>
      </c>
      <c r="D27" s="21" t="s">
        <v>328</v>
      </c>
      <c r="E27" s="20" t="s">
        <v>84</v>
      </c>
      <c r="F27" s="20" t="s">
        <v>85</v>
      </c>
      <c r="G27" s="22">
        <f t="shared" si="0"/>
        <v>462</v>
      </c>
      <c r="H27" s="22">
        <f t="shared" si="1"/>
        <v>88</v>
      </c>
      <c r="I27" s="22">
        <v>0</v>
      </c>
      <c r="J27" s="22">
        <v>550</v>
      </c>
      <c r="K27" s="18" t="s">
        <v>329</v>
      </c>
      <c r="N27" s="30"/>
      <c r="O27" s="31"/>
      <c r="P27" s="31"/>
      <c r="Q27" s="31"/>
      <c r="R27" s="32"/>
      <c r="S27" s="32"/>
      <c r="T27" s="32"/>
      <c r="U27" s="31"/>
      <c r="V27" s="29"/>
    </row>
    <row r="28" spans="1:22">
      <c r="A28" s="14">
        <v>45939</v>
      </c>
      <c r="B28" s="15" t="s">
        <v>330</v>
      </c>
      <c r="C28" s="15" t="s">
        <v>88</v>
      </c>
      <c r="D28" s="16"/>
      <c r="E28" s="15" t="s">
        <v>8</v>
      </c>
      <c r="F28" s="20" t="s">
        <v>19</v>
      </c>
      <c r="G28" s="17">
        <f t="shared" si="0"/>
        <v>588</v>
      </c>
      <c r="H28" s="17">
        <f t="shared" si="1"/>
        <v>112</v>
      </c>
      <c r="I28" s="17">
        <v>0</v>
      </c>
      <c r="J28" s="17">
        <v>700</v>
      </c>
      <c r="K28" s="18" t="s">
        <v>329</v>
      </c>
      <c r="N28" s="30"/>
      <c r="O28" s="31"/>
      <c r="P28" s="31"/>
      <c r="Q28" s="31"/>
      <c r="R28" s="32"/>
      <c r="S28" s="32"/>
      <c r="T28" s="32"/>
      <c r="U28" s="31"/>
      <c r="V28" s="29"/>
    </row>
    <row r="29" spans="1:22">
      <c r="A29" s="19">
        <v>45940</v>
      </c>
      <c r="B29" s="20" t="s">
        <v>331</v>
      </c>
      <c r="C29" s="20" t="s">
        <v>98</v>
      </c>
      <c r="D29" s="21"/>
      <c r="E29" s="20" t="s">
        <v>8</v>
      </c>
      <c r="F29" s="20" t="s">
        <v>19</v>
      </c>
      <c r="G29" s="22">
        <f t="shared" si="0"/>
        <v>378</v>
      </c>
      <c r="H29" s="22">
        <f t="shared" si="1"/>
        <v>72</v>
      </c>
      <c r="I29" s="22">
        <v>0</v>
      </c>
      <c r="J29" s="22">
        <v>450</v>
      </c>
      <c r="K29" s="18"/>
      <c r="N29" s="30"/>
      <c r="O29" s="31"/>
      <c r="P29" s="31"/>
      <c r="Q29" s="31"/>
      <c r="R29" s="32"/>
      <c r="S29" s="32"/>
      <c r="T29" s="32"/>
      <c r="U29" s="31"/>
      <c r="V29" s="29"/>
    </row>
    <row r="30" spans="1:22">
      <c r="A30" s="19">
        <v>45940</v>
      </c>
      <c r="B30" s="15" t="s">
        <v>279</v>
      </c>
      <c r="C30" s="15" t="s">
        <v>16</v>
      </c>
      <c r="D30" s="16"/>
      <c r="E30" s="15" t="s">
        <v>8</v>
      </c>
      <c r="F30" s="20" t="s">
        <v>19</v>
      </c>
      <c r="G30" s="17">
        <f t="shared" si="0"/>
        <v>504</v>
      </c>
      <c r="H30" s="17">
        <f t="shared" si="1"/>
        <v>96</v>
      </c>
      <c r="I30" s="17">
        <v>0</v>
      </c>
      <c r="J30" s="17">
        <v>600</v>
      </c>
      <c r="K30" s="18"/>
      <c r="N30" s="30"/>
      <c r="O30" s="31"/>
      <c r="P30" s="31"/>
      <c r="Q30" s="31"/>
      <c r="R30" s="32"/>
      <c r="S30" s="32"/>
      <c r="T30" s="32"/>
      <c r="U30" s="31"/>
      <c r="V30" s="29"/>
    </row>
    <row r="31" spans="1:22">
      <c r="A31" s="19">
        <v>45941</v>
      </c>
      <c r="B31" s="20" t="s">
        <v>292</v>
      </c>
      <c r="C31" s="20" t="s">
        <v>98</v>
      </c>
      <c r="D31" s="21"/>
      <c r="E31" s="20" t="s">
        <v>8</v>
      </c>
      <c r="F31" s="20" t="s">
        <v>19</v>
      </c>
      <c r="G31" s="22">
        <f t="shared" si="0"/>
        <v>420</v>
      </c>
      <c r="H31" s="22">
        <f t="shared" si="1"/>
        <v>80</v>
      </c>
      <c r="I31" s="22">
        <v>0</v>
      </c>
      <c r="J31" s="22">
        <v>500</v>
      </c>
      <c r="K31" s="18"/>
      <c r="N31" s="30"/>
      <c r="O31" s="31"/>
      <c r="P31" s="31"/>
      <c r="Q31" s="31"/>
      <c r="R31" s="32"/>
      <c r="S31" s="32"/>
      <c r="T31" s="32"/>
      <c r="U31" s="31"/>
      <c r="V31" s="29"/>
    </row>
    <row r="32" spans="1:22">
      <c r="A32" s="19">
        <v>45941</v>
      </c>
      <c r="B32" s="20" t="s">
        <v>292</v>
      </c>
      <c r="C32" s="15" t="s">
        <v>16</v>
      </c>
      <c r="D32" s="16"/>
      <c r="E32" s="15" t="s">
        <v>8</v>
      </c>
      <c r="F32" s="15" t="s">
        <v>19</v>
      </c>
      <c r="G32" s="17">
        <f t="shared" si="0"/>
        <v>504</v>
      </c>
      <c r="H32" s="17">
        <f t="shared" si="1"/>
        <v>96</v>
      </c>
      <c r="I32" s="17">
        <v>0</v>
      </c>
      <c r="J32" s="17">
        <v>600</v>
      </c>
      <c r="K32" s="18"/>
      <c r="N32" s="30"/>
      <c r="O32" s="31"/>
      <c r="P32" s="31"/>
      <c r="Q32" s="31"/>
      <c r="R32" s="32"/>
      <c r="S32" s="32"/>
      <c r="T32" s="32"/>
      <c r="U32" s="31"/>
      <c r="V32" s="29"/>
    </row>
    <row r="33" spans="1:22">
      <c r="A33" s="19">
        <v>45941</v>
      </c>
      <c r="B33" s="20" t="s">
        <v>292</v>
      </c>
      <c r="C33" s="20" t="s">
        <v>99</v>
      </c>
      <c r="D33" s="21" t="s">
        <v>332</v>
      </c>
      <c r="E33" s="20" t="s">
        <v>8</v>
      </c>
      <c r="F33" s="20" t="s">
        <v>19</v>
      </c>
      <c r="G33" s="22">
        <f t="shared" si="0"/>
        <v>252</v>
      </c>
      <c r="H33" s="22">
        <f t="shared" si="1"/>
        <v>48</v>
      </c>
      <c r="I33" s="22">
        <v>0</v>
      </c>
      <c r="J33" s="22">
        <v>300</v>
      </c>
      <c r="K33" s="18"/>
      <c r="N33" s="30"/>
      <c r="O33" s="31"/>
      <c r="P33" s="31"/>
      <c r="Q33" s="31"/>
      <c r="R33" s="32"/>
      <c r="S33" s="32"/>
      <c r="T33" s="32"/>
      <c r="U33" s="31"/>
      <c r="V33" s="29"/>
    </row>
    <row r="34" spans="1:22">
      <c r="A34" s="19">
        <v>45941</v>
      </c>
      <c r="B34" s="15" t="s">
        <v>281</v>
      </c>
      <c r="C34" s="15" t="s">
        <v>16</v>
      </c>
      <c r="D34" s="16"/>
      <c r="E34" s="15" t="s">
        <v>84</v>
      </c>
      <c r="F34" s="15" t="s">
        <v>85</v>
      </c>
      <c r="G34" s="17">
        <f t="shared" si="0"/>
        <v>504</v>
      </c>
      <c r="H34" s="17">
        <f t="shared" si="1"/>
        <v>96</v>
      </c>
      <c r="I34" s="17">
        <v>0</v>
      </c>
      <c r="J34" s="17">
        <v>600</v>
      </c>
      <c r="K34" s="18"/>
      <c r="N34" s="30"/>
      <c r="O34" s="31"/>
      <c r="P34" s="31"/>
      <c r="Q34" s="31"/>
      <c r="R34" s="32"/>
      <c r="S34" s="32"/>
      <c r="T34" s="32"/>
      <c r="U34" s="31"/>
      <c r="V34" s="29"/>
    </row>
    <row r="35" spans="1:22">
      <c r="A35" s="19">
        <v>45943</v>
      </c>
      <c r="B35" s="20" t="s">
        <v>333</v>
      </c>
      <c r="C35" s="20" t="s">
        <v>16</v>
      </c>
      <c r="D35" s="21"/>
      <c r="E35" s="20" t="s">
        <v>8</v>
      </c>
      <c r="F35" s="20" t="s">
        <v>19</v>
      </c>
      <c r="G35" s="22">
        <f t="shared" si="0"/>
        <v>504</v>
      </c>
      <c r="H35" s="22">
        <f t="shared" si="1"/>
        <v>96</v>
      </c>
      <c r="I35" s="22">
        <v>0</v>
      </c>
      <c r="J35" s="22">
        <v>600</v>
      </c>
      <c r="K35" s="18"/>
      <c r="N35" s="30"/>
      <c r="O35" s="31"/>
      <c r="P35" s="31"/>
      <c r="Q35" s="31"/>
      <c r="R35" s="32"/>
      <c r="S35" s="32"/>
      <c r="T35" s="32"/>
      <c r="U35" s="31"/>
      <c r="V35" s="29"/>
    </row>
    <row r="36" spans="1:22">
      <c r="A36" s="19">
        <v>45943</v>
      </c>
      <c r="B36" s="15" t="s">
        <v>246</v>
      </c>
      <c r="C36" s="15" t="s">
        <v>93</v>
      </c>
      <c r="D36" s="16"/>
      <c r="E36" s="15" t="s">
        <v>84</v>
      </c>
      <c r="F36" s="15" t="s">
        <v>85</v>
      </c>
      <c r="G36" s="17">
        <f t="shared" si="0"/>
        <v>168</v>
      </c>
      <c r="H36" s="17">
        <f t="shared" si="1"/>
        <v>32</v>
      </c>
      <c r="I36" s="17">
        <v>0</v>
      </c>
      <c r="J36" s="17">
        <v>200</v>
      </c>
      <c r="K36" s="18" t="s">
        <v>334</v>
      </c>
      <c r="N36" s="30"/>
      <c r="O36" s="31"/>
      <c r="P36" s="31"/>
      <c r="Q36" s="31"/>
      <c r="R36" s="32"/>
      <c r="S36" s="32"/>
      <c r="T36" s="32"/>
      <c r="U36" s="31"/>
      <c r="V36" s="29"/>
    </row>
    <row r="37" spans="1:22">
      <c r="A37" s="19">
        <v>45945</v>
      </c>
      <c r="B37" s="20" t="s">
        <v>335</v>
      </c>
      <c r="C37" s="20" t="s">
        <v>16</v>
      </c>
      <c r="D37" s="21"/>
      <c r="E37" s="20" t="s">
        <v>8</v>
      </c>
      <c r="F37" s="20" t="s">
        <v>19</v>
      </c>
      <c r="G37" s="22">
        <f t="shared" si="0"/>
        <v>504</v>
      </c>
      <c r="H37" s="22">
        <f t="shared" si="1"/>
        <v>96</v>
      </c>
      <c r="I37" s="22">
        <v>0</v>
      </c>
      <c r="J37" s="22">
        <v>600</v>
      </c>
      <c r="K37" s="18"/>
      <c r="N37" s="30"/>
      <c r="O37" s="31"/>
      <c r="P37" s="31"/>
      <c r="Q37" s="31"/>
      <c r="R37" s="32"/>
      <c r="S37" s="32"/>
      <c r="T37" s="32"/>
      <c r="U37" s="31"/>
      <c r="V37" s="29"/>
    </row>
    <row r="38" spans="1:22">
      <c r="A38" s="19">
        <v>45945</v>
      </c>
      <c r="B38" s="20" t="s">
        <v>335</v>
      </c>
      <c r="C38" s="20" t="s">
        <v>99</v>
      </c>
      <c r="D38" s="16" t="s">
        <v>336</v>
      </c>
      <c r="E38" s="15" t="s">
        <v>84</v>
      </c>
      <c r="F38" s="15" t="s">
        <v>85</v>
      </c>
      <c r="G38" s="17">
        <f t="shared" si="0"/>
        <v>336</v>
      </c>
      <c r="H38" s="17">
        <f t="shared" si="1"/>
        <v>64</v>
      </c>
      <c r="I38" s="17">
        <v>0</v>
      </c>
      <c r="J38" s="17">
        <v>400</v>
      </c>
      <c r="K38" s="18"/>
      <c r="N38" s="30"/>
      <c r="O38" s="31"/>
      <c r="P38" s="31"/>
      <c r="Q38" s="31"/>
      <c r="R38" s="32"/>
      <c r="S38" s="32"/>
      <c r="T38" s="32"/>
      <c r="U38" s="31"/>
      <c r="V38" s="29"/>
    </row>
    <row r="39" spans="1:22">
      <c r="A39" s="19">
        <v>45946</v>
      </c>
      <c r="B39" s="20" t="s">
        <v>206</v>
      </c>
      <c r="C39" s="20" t="s">
        <v>16</v>
      </c>
      <c r="D39" s="21"/>
      <c r="E39" s="20" t="s">
        <v>8</v>
      </c>
      <c r="F39" s="20" t="s">
        <v>19</v>
      </c>
      <c r="G39" s="22">
        <f t="shared" si="0"/>
        <v>504</v>
      </c>
      <c r="H39" s="22">
        <f t="shared" si="1"/>
        <v>96</v>
      </c>
      <c r="I39" s="22">
        <v>0</v>
      </c>
      <c r="J39" s="22">
        <v>600</v>
      </c>
      <c r="K39" s="18"/>
      <c r="N39" s="30"/>
      <c r="O39" s="31"/>
      <c r="P39" s="31"/>
      <c r="Q39" s="31"/>
      <c r="R39" s="32"/>
      <c r="S39" s="32"/>
      <c r="T39" s="32"/>
      <c r="U39" s="31"/>
      <c r="V39" s="29"/>
    </row>
    <row r="40" spans="1:22">
      <c r="A40" s="19">
        <v>45946</v>
      </c>
      <c r="B40" s="20" t="s">
        <v>337</v>
      </c>
      <c r="C40" s="20" t="s">
        <v>98</v>
      </c>
      <c r="D40" s="21" t="s">
        <v>338</v>
      </c>
      <c r="E40" s="20" t="s">
        <v>8</v>
      </c>
      <c r="F40" s="20" t="s">
        <v>19</v>
      </c>
      <c r="G40" s="22">
        <f t="shared" si="0"/>
        <v>378</v>
      </c>
      <c r="H40" s="22">
        <f t="shared" si="1"/>
        <v>72</v>
      </c>
      <c r="I40" s="22">
        <v>0</v>
      </c>
      <c r="J40" s="22">
        <v>450</v>
      </c>
      <c r="K40" s="18"/>
      <c r="N40" s="29"/>
      <c r="O40" s="29"/>
      <c r="P40" s="29"/>
      <c r="Q40" s="29"/>
      <c r="R40" s="29"/>
      <c r="S40" s="29"/>
      <c r="T40" s="29"/>
      <c r="U40" s="29"/>
      <c r="V40" s="29"/>
    </row>
    <row r="41" spans="1:22">
      <c r="A41" s="19">
        <v>45946</v>
      </c>
      <c r="B41" s="15" t="s">
        <v>339</v>
      </c>
      <c r="C41" s="15" t="s">
        <v>99</v>
      </c>
      <c r="D41" s="16" t="s">
        <v>340</v>
      </c>
      <c r="E41" s="15" t="s">
        <v>84</v>
      </c>
      <c r="F41" s="15" t="s">
        <v>85</v>
      </c>
      <c r="G41" s="17">
        <f t="shared" si="0"/>
        <v>294</v>
      </c>
      <c r="H41" s="17">
        <f t="shared" si="1"/>
        <v>56</v>
      </c>
      <c r="I41" s="17">
        <v>0</v>
      </c>
      <c r="J41" s="17">
        <v>350</v>
      </c>
      <c r="K41" s="18"/>
      <c r="N41" s="29"/>
      <c r="O41" s="29"/>
      <c r="P41" s="29"/>
      <c r="Q41" s="29"/>
      <c r="R41" s="29"/>
      <c r="S41" s="29"/>
      <c r="T41" s="29"/>
      <c r="U41" s="29"/>
      <c r="V41" s="29"/>
    </row>
    <row r="42" spans="1:22">
      <c r="A42" s="19">
        <v>45946</v>
      </c>
      <c r="B42" s="20" t="s">
        <v>229</v>
      </c>
      <c r="C42" s="20" t="s">
        <v>98</v>
      </c>
      <c r="D42" s="21" t="s">
        <v>249</v>
      </c>
      <c r="E42" s="20" t="s">
        <v>8</v>
      </c>
      <c r="F42" s="20" t="s">
        <v>19</v>
      </c>
      <c r="G42" s="22">
        <f t="shared" si="0"/>
        <v>336</v>
      </c>
      <c r="H42" s="22">
        <f t="shared" si="1"/>
        <v>64</v>
      </c>
      <c r="I42" s="22">
        <v>0</v>
      </c>
      <c r="J42" s="22">
        <v>400</v>
      </c>
      <c r="K42" s="18"/>
      <c r="N42" s="29"/>
      <c r="O42" s="29"/>
      <c r="P42" s="29"/>
      <c r="Q42" s="29"/>
      <c r="R42" s="29"/>
      <c r="S42" s="29"/>
      <c r="T42" s="29"/>
      <c r="U42" s="29"/>
      <c r="V42" s="29"/>
    </row>
    <row r="43" spans="1:22">
      <c r="A43" s="14">
        <v>45947</v>
      </c>
      <c r="B43" s="15" t="s">
        <v>341</v>
      </c>
      <c r="C43" s="15" t="s">
        <v>16</v>
      </c>
      <c r="D43" s="16"/>
      <c r="E43" s="15" t="s">
        <v>84</v>
      </c>
      <c r="F43" s="15" t="s">
        <v>85</v>
      </c>
      <c r="G43" s="17">
        <f t="shared" si="0"/>
        <v>504</v>
      </c>
      <c r="H43" s="17">
        <f t="shared" si="1"/>
        <v>96</v>
      </c>
      <c r="I43" s="17">
        <v>0</v>
      </c>
      <c r="J43" s="17">
        <v>600</v>
      </c>
      <c r="K43" s="18"/>
      <c r="N43" s="29"/>
      <c r="O43" s="29"/>
      <c r="P43" s="29"/>
      <c r="Q43" s="29"/>
      <c r="R43" s="29"/>
      <c r="S43" s="29"/>
      <c r="T43" s="29"/>
      <c r="U43" s="29"/>
      <c r="V43" s="29"/>
    </row>
    <row r="44" spans="1:22">
      <c r="A44" s="14">
        <v>45947</v>
      </c>
      <c r="B44" s="15" t="s">
        <v>341</v>
      </c>
      <c r="C44" s="15" t="s">
        <v>93</v>
      </c>
      <c r="D44" s="16"/>
      <c r="E44" s="15" t="s">
        <v>84</v>
      </c>
      <c r="F44" s="15" t="s">
        <v>85</v>
      </c>
      <c r="G44" s="17">
        <f t="shared" si="0"/>
        <v>420</v>
      </c>
      <c r="H44" s="17">
        <f t="shared" si="1"/>
        <v>80</v>
      </c>
      <c r="I44" s="17">
        <v>0</v>
      </c>
      <c r="J44" s="17">
        <v>500</v>
      </c>
      <c r="K44" s="18" t="s">
        <v>345</v>
      </c>
    </row>
    <row r="45" spans="1:22">
      <c r="A45" s="14">
        <v>45947</v>
      </c>
      <c r="B45" s="15" t="s">
        <v>343</v>
      </c>
      <c r="C45" s="15" t="s">
        <v>16</v>
      </c>
      <c r="D45" s="21"/>
      <c r="E45" s="20" t="s">
        <v>84</v>
      </c>
      <c r="F45" s="20" t="s">
        <v>85</v>
      </c>
      <c r="G45" s="22">
        <f t="shared" si="0"/>
        <v>504</v>
      </c>
      <c r="H45" s="22">
        <f t="shared" si="1"/>
        <v>96</v>
      </c>
      <c r="I45" s="22">
        <v>0</v>
      </c>
      <c r="J45" s="22">
        <v>600</v>
      </c>
      <c r="K45" s="18"/>
    </row>
    <row r="46" spans="1:22">
      <c r="A46" s="14">
        <v>45947</v>
      </c>
      <c r="B46" s="15" t="s">
        <v>344</v>
      </c>
      <c r="C46" s="15" t="s">
        <v>16</v>
      </c>
      <c r="D46" s="16"/>
      <c r="E46" s="15" t="s">
        <v>84</v>
      </c>
      <c r="F46" s="15" t="s">
        <v>85</v>
      </c>
      <c r="G46" s="17">
        <f t="shared" si="0"/>
        <v>504</v>
      </c>
      <c r="H46" s="17">
        <f t="shared" si="1"/>
        <v>96</v>
      </c>
      <c r="I46" s="17">
        <v>0</v>
      </c>
      <c r="J46" s="17">
        <v>600</v>
      </c>
      <c r="K46" s="18"/>
    </row>
    <row r="47" spans="1:22">
      <c r="A47" s="19">
        <v>45950</v>
      </c>
      <c r="B47" s="20" t="s">
        <v>346</v>
      </c>
      <c r="C47" s="20" t="s">
        <v>99</v>
      </c>
      <c r="D47" s="21" t="s">
        <v>347</v>
      </c>
      <c r="E47" s="20" t="s">
        <v>84</v>
      </c>
      <c r="F47" s="20" t="s">
        <v>85</v>
      </c>
      <c r="G47" s="22">
        <f t="shared" si="0"/>
        <v>478.8</v>
      </c>
      <c r="H47" s="22">
        <f t="shared" si="1"/>
        <v>91.2</v>
      </c>
      <c r="I47" s="22">
        <v>0</v>
      </c>
      <c r="J47" s="22">
        <v>570</v>
      </c>
      <c r="K47" s="18"/>
    </row>
    <row r="48" spans="1:22">
      <c r="A48" s="14">
        <v>45950</v>
      </c>
      <c r="B48" s="15" t="s">
        <v>348</v>
      </c>
      <c r="C48" s="15" t="s">
        <v>16</v>
      </c>
      <c r="D48" s="16"/>
      <c r="E48" s="15" t="s">
        <v>8</v>
      </c>
      <c r="F48" s="15" t="s">
        <v>85</v>
      </c>
      <c r="G48" s="17">
        <f t="shared" si="0"/>
        <v>504</v>
      </c>
      <c r="H48" s="17">
        <f t="shared" si="1"/>
        <v>96</v>
      </c>
      <c r="I48" s="17">
        <v>0</v>
      </c>
      <c r="J48" s="17">
        <v>600</v>
      </c>
      <c r="K48" s="18" t="s">
        <v>329</v>
      </c>
    </row>
    <row r="49" spans="1:21">
      <c r="A49" s="19">
        <v>45951</v>
      </c>
      <c r="B49" s="20" t="s">
        <v>350</v>
      </c>
      <c r="C49" s="20" t="s">
        <v>16</v>
      </c>
      <c r="D49" s="21"/>
      <c r="E49" s="20" t="s">
        <v>189</v>
      </c>
      <c r="F49" s="20" t="s">
        <v>85</v>
      </c>
      <c r="G49" s="22">
        <f t="shared" si="0"/>
        <v>420</v>
      </c>
      <c r="H49" s="22">
        <f t="shared" si="1"/>
        <v>80</v>
      </c>
      <c r="I49" s="22">
        <v>0</v>
      </c>
      <c r="J49" s="22">
        <v>500</v>
      </c>
      <c r="K49" s="18"/>
    </row>
    <row r="50" spans="1:21">
      <c r="A50" s="19">
        <v>45951</v>
      </c>
      <c r="B50" s="15" t="s">
        <v>351</v>
      </c>
      <c r="C50" s="15" t="s">
        <v>16</v>
      </c>
      <c r="D50" s="16"/>
      <c r="E50" s="15" t="s">
        <v>8</v>
      </c>
      <c r="F50" s="15" t="s">
        <v>19</v>
      </c>
      <c r="G50" s="17">
        <f t="shared" si="0"/>
        <v>504</v>
      </c>
      <c r="H50" s="17">
        <f t="shared" si="1"/>
        <v>96</v>
      </c>
      <c r="I50" s="17">
        <v>0</v>
      </c>
      <c r="J50" s="17">
        <v>600</v>
      </c>
      <c r="K50" s="18"/>
      <c r="N50" s="30"/>
      <c r="O50" s="31"/>
      <c r="P50" s="31"/>
      <c r="Q50" s="31"/>
      <c r="R50" s="32"/>
      <c r="S50" s="32"/>
      <c r="T50" s="32"/>
      <c r="U50" s="31"/>
    </row>
    <row r="51" spans="1:21">
      <c r="A51" s="19">
        <v>45951</v>
      </c>
      <c r="B51" s="20" t="s">
        <v>296</v>
      </c>
      <c r="C51" s="20" t="s">
        <v>16</v>
      </c>
      <c r="D51" s="21"/>
      <c r="E51" s="20" t="s">
        <v>8</v>
      </c>
      <c r="F51" s="20" t="s">
        <v>19</v>
      </c>
      <c r="G51" s="22">
        <f t="shared" si="0"/>
        <v>504</v>
      </c>
      <c r="H51" s="22">
        <f t="shared" si="1"/>
        <v>96</v>
      </c>
      <c r="I51" s="22">
        <v>0</v>
      </c>
      <c r="J51" s="22">
        <v>600</v>
      </c>
      <c r="K51" s="18"/>
      <c r="N51" s="30"/>
      <c r="O51" s="31"/>
      <c r="P51" s="31"/>
      <c r="Q51" s="31"/>
      <c r="R51" s="32"/>
      <c r="S51" s="32"/>
      <c r="T51" s="32"/>
      <c r="U51" s="31"/>
    </row>
    <row r="52" spans="1:21">
      <c r="A52" s="19">
        <v>45951</v>
      </c>
      <c r="B52" s="20" t="s">
        <v>296</v>
      </c>
      <c r="C52" s="20" t="s">
        <v>99</v>
      </c>
      <c r="D52" s="21"/>
      <c r="E52" s="20" t="s">
        <v>8</v>
      </c>
      <c r="F52" s="20" t="s">
        <v>19</v>
      </c>
      <c r="G52" s="22">
        <f t="shared" ref="G52:G60" si="4">J52-H52</f>
        <v>462</v>
      </c>
      <c r="H52" s="22">
        <f t="shared" ref="H52:H60" si="5">J52*0.16</f>
        <v>88</v>
      </c>
      <c r="I52" s="22">
        <v>0</v>
      </c>
      <c r="J52" s="22">
        <v>550</v>
      </c>
      <c r="K52" s="18"/>
      <c r="N52" s="30"/>
      <c r="O52" s="31"/>
      <c r="P52" s="31"/>
      <c r="Q52" s="31"/>
      <c r="R52" s="32"/>
      <c r="S52" s="32"/>
      <c r="T52" s="32"/>
      <c r="U52" s="31"/>
    </row>
    <row r="53" spans="1:21">
      <c r="A53" s="19">
        <v>45587</v>
      </c>
      <c r="B53" s="20" t="s">
        <v>352</v>
      </c>
      <c r="C53" s="20" t="s">
        <v>16</v>
      </c>
      <c r="D53" s="21"/>
      <c r="E53" s="20" t="s">
        <v>8</v>
      </c>
      <c r="F53" s="20" t="s">
        <v>19</v>
      </c>
      <c r="G53" s="22">
        <f t="shared" si="4"/>
        <v>504</v>
      </c>
      <c r="H53" s="22">
        <f t="shared" si="5"/>
        <v>96</v>
      </c>
      <c r="I53" s="22">
        <v>0</v>
      </c>
      <c r="J53" s="22">
        <v>600</v>
      </c>
      <c r="K53" s="18"/>
      <c r="N53" s="30"/>
      <c r="O53" s="31"/>
      <c r="P53" s="31"/>
      <c r="Q53" s="31"/>
      <c r="R53" s="32"/>
      <c r="S53" s="32"/>
      <c r="T53" s="32"/>
      <c r="U53" s="31"/>
    </row>
    <row r="54" spans="1:21">
      <c r="A54" s="19">
        <v>45587</v>
      </c>
      <c r="B54" s="20" t="s">
        <v>246</v>
      </c>
      <c r="C54" s="20" t="s">
        <v>88</v>
      </c>
      <c r="D54" s="21"/>
      <c r="E54" s="20" t="s">
        <v>8</v>
      </c>
      <c r="F54" s="20" t="s">
        <v>19</v>
      </c>
      <c r="G54" s="22">
        <f t="shared" si="4"/>
        <v>588</v>
      </c>
      <c r="H54" s="22">
        <f t="shared" si="5"/>
        <v>112</v>
      </c>
      <c r="I54" s="22"/>
      <c r="J54" s="22">
        <v>700</v>
      </c>
      <c r="K54" s="18"/>
      <c r="N54" s="30"/>
      <c r="O54" s="31"/>
      <c r="P54" s="31"/>
      <c r="Q54" s="31"/>
      <c r="R54" s="32"/>
      <c r="S54" s="32"/>
      <c r="T54" s="32"/>
      <c r="U54" s="31"/>
    </row>
    <row r="55" spans="1:21">
      <c r="A55" s="19">
        <v>45588</v>
      </c>
      <c r="B55" s="20" t="s">
        <v>246</v>
      </c>
      <c r="C55" s="20" t="s">
        <v>93</v>
      </c>
      <c r="D55" s="21"/>
      <c r="E55" s="20" t="s">
        <v>8</v>
      </c>
      <c r="F55" s="20" t="s">
        <v>19</v>
      </c>
      <c r="G55" s="22">
        <f t="shared" si="4"/>
        <v>142.80000000000001</v>
      </c>
      <c r="H55" s="22">
        <f t="shared" si="5"/>
        <v>27.2</v>
      </c>
      <c r="I55" s="22"/>
      <c r="J55" s="22">
        <v>170</v>
      </c>
      <c r="K55" s="18"/>
      <c r="N55" s="30"/>
      <c r="O55" s="31"/>
      <c r="P55" s="31"/>
      <c r="Q55" s="31"/>
      <c r="R55" s="32"/>
      <c r="S55" s="32"/>
      <c r="T55" s="32"/>
      <c r="U55" s="31"/>
    </row>
    <row r="56" spans="1:21">
      <c r="A56" s="19">
        <v>45588</v>
      </c>
      <c r="B56" s="20" t="s">
        <v>286</v>
      </c>
      <c r="C56" s="20" t="s">
        <v>16</v>
      </c>
      <c r="D56" s="21"/>
      <c r="E56" s="20" t="s">
        <v>8</v>
      </c>
      <c r="F56" s="20" t="s">
        <v>19</v>
      </c>
      <c r="G56" s="22">
        <f t="shared" si="4"/>
        <v>504</v>
      </c>
      <c r="H56" s="22">
        <f t="shared" si="5"/>
        <v>96</v>
      </c>
      <c r="I56" s="22"/>
      <c r="J56" s="22">
        <v>600</v>
      </c>
      <c r="K56" s="18"/>
      <c r="N56" s="30"/>
      <c r="O56" s="31"/>
      <c r="P56" s="31"/>
      <c r="Q56" s="31"/>
      <c r="R56" s="32"/>
      <c r="S56" s="32"/>
      <c r="T56" s="32"/>
      <c r="U56" s="31"/>
    </row>
    <row r="57" spans="1:21">
      <c r="A57" s="19">
        <v>45588</v>
      </c>
      <c r="B57" s="20" t="s">
        <v>353</v>
      </c>
      <c r="C57" s="20" t="s">
        <v>16</v>
      </c>
      <c r="D57" s="21"/>
      <c r="E57" s="20"/>
      <c r="F57" s="20"/>
      <c r="G57" s="22">
        <f t="shared" si="4"/>
        <v>504</v>
      </c>
      <c r="H57" s="22">
        <f t="shared" si="5"/>
        <v>96</v>
      </c>
      <c r="I57" s="22"/>
      <c r="J57" s="22">
        <v>600</v>
      </c>
      <c r="K57" s="18"/>
      <c r="N57" s="30"/>
      <c r="O57" s="31"/>
      <c r="P57" s="31"/>
      <c r="Q57" s="31"/>
      <c r="R57" s="32"/>
      <c r="S57" s="32"/>
      <c r="T57" s="32"/>
      <c r="U57" s="31"/>
    </row>
    <row r="58" spans="1:21">
      <c r="A58" s="19">
        <v>45588</v>
      </c>
      <c r="B58" s="20" t="s">
        <v>322</v>
      </c>
      <c r="C58" s="20" t="s">
        <v>99</v>
      </c>
      <c r="D58" s="21"/>
      <c r="E58" s="20"/>
      <c r="F58" s="20"/>
      <c r="G58" s="22">
        <f t="shared" si="4"/>
        <v>277.2</v>
      </c>
      <c r="H58" s="22">
        <f t="shared" si="5"/>
        <v>52.800000000000004</v>
      </c>
      <c r="I58" s="22"/>
      <c r="J58" s="22">
        <v>330</v>
      </c>
      <c r="K58" s="18" t="s">
        <v>355</v>
      </c>
      <c r="N58" s="30"/>
      <c r="O58" s="31"/>
      <c r="P58" s="31"/>
      <c r="Q58" s="31"/>
      <c r="R58" s="32"/>
      <c r="S58" s="32"/>
      <c r="T58" s="32"/>
      <c r="U58" s="31"/>
    </row>
    <row r="59" spans="1:21">
      <c r="A59" s="19">
        <v>45588</v>
      </c>
      <c r="B59" s="20" t="s">
        <v>354</v>
      </c>
      <c r="C59" s="20" t="s">
        <v>16</v>
      </c>
      <c r="D59" s="21"/>
      <c r="E59" s="20"/>
      <c r="F59" s="20"/>
      <c r="G59" s="22">
        <f t="shared" si="4"/>
        <v>336</v>
      </c>
      <c r="H59" s="22">
        <f t="shared" si="5"/>
        <v>64</v>
      </c>
      <c r="I59" s="22"/>
      <c r="J59" s="22">
        <v>400</v>
      </c>
      <c r="K59" s="18"/>
    </row>
    <row r="60" spans="1:21">
      <c r="A60" s="19">
        <v>45588</v>
      </c>
      <c r="B60" s="20" t="s">
        <v>356</v>
      </c>
      <c r="C60" s="20" t="s">
        <v>16</v>
      </c>
      <c r="D60" s="21"/>
      <c r="E60" s="20"/>
      <c r="F60" s="20"/>
      <c r="G60" s="22">
        <f t="shared" si="4"/>
        <v>588</v>
      </c>
      <c r="H60" s="22">
        <f t="shared" si="5"/>
        <v>112</v>
      </c>
      <c r="I60" s="22"/>
      <c r="J60" s="22">
        <v>700</v>
      </c>
      <c r="K60" s="18"/>
    </row>
  </sheetData>
  <mergeCells count="4">
    <mergeCell ref="D4:E4"/>
    <mergeCell ref="A6:B6"/>
    <mergeCell ref="A14:K14"/>
    <mergeCell ref="N14:U14"/>
  </mergeCells>
  <dataValidations count="4">
    <dataValidation type="list" allowBlank="1" showInputMessage="1" showErrorMessage="1" sqref="C16:C60" xr:uid="{0C2A4E2C-2D3E-6E47-BEF8-AEE4A21B034F}">
      <formula1>"Limpieza Profunda, Anti-acné, PRODUCTO, Depilación Láser, Facial despigmentante, Lifting facial, Dermapen, Otro"</formula1>
    </dataValidation>
    <dataValidation type="list" allowBlank="1" showInputMessage="1" showErrorMessage="1" sqref="F16:F60 Q16:Q23 Q27:Q39 Q50:Q58" xr:uid="{4780A974-0802-AB4B-8254-F639406A81EF}">
      <formula1>"BBVA Alo, Caja"</formula1>
    </dataValidation>
    <dataValidation type="list" allowBlank="1" showInputMessage="1" showErrorMessage="1" sqref="E16:E60 P16:P23 P27:P39 P50:P58" xr:uid="{CEDCC729-32DC-0C45-BC4B-6D9427CADBAD}">
      <formula1>"Efectivo,Transferencia,Tarjeta"</formula1>
    </dataValidation>
    <dataValidation type="list" allowBlank="1" showInputMessage="1" showErrorMessage="1" sqref="E15 P15" xr:uid="{4619E0D3-ABD1-F941-9677-4E647BFDFBE5}">
      <formula1>"Efectivo, Transferencia, Tarjeta"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5FF3-145D-2449-B78E-D40F2C14CB8F}">
  <dimension ref="A1:W71"/>
  <sheetViews>
    <sheetView topLeftCell="A2" zoomScale="125" workbookViewId="0">
      <selection activeCell="I61" sqref="I61"/>
    </sheetView>
  </sheetViews>
  <sheetFormatPr baseColWidth="10" defaultRowHeight="15"/>
  <cols>
    <col min="1" max="1" width="19.6640625" customWidth="1"/>
    <col min="2" max="2" width="18.33203125" customWidth="1"/>
    <col min="3" max="3" width="18.6640625" bestFit="1" customWidth="1"/>
    <col min="4" max="4" width="22.1640625" style="8" customWidth="1"/>
    <col min="5" max="5" width="19.1640625" customWidth="1"/>
    <col min="6" max="6" width="21" customWidth="1"/>
    <col min="7" max="7" width="12.1640625" customWidth="1"/>
    <col min="9" max="9" width="14.33203125" customWidth="1"/>
    <col min="11" max="11" width="13" customWidth="1"/>
    <col min="12" max="13" width="3.1640625" customWidth="1"/>
    <col min="14" max="14" width="14.33203125" customWidth="1"/>
    <col min="15" max="15" width="19.1640625" customWidth="1"/>
    <col min="16" max="16" width="15.83203125" bestFit="1" customWidth="1"/>
    <col min="17" max="17" width="17.6640625" bestFit="1" customWidth="1"/>
    <col min="18" max="18" width="10.5" bestFit="1" customWidth="1"/>
    <col min="21" max="21" width="12.83203125" customWidth="1"/>
  </cols>
  <sheetData>
    <row r="1" spans="1:21" ht="54" customHeight="1">
      <c r="A1" s="10"/>
      <c r="B1" s="10"/>
    </row>
    <row r="2" spans="1:21" ht="42" customHeight="1">
      <c r="A2" s="10"/>
      <c r="B2" s="10"/>
      <c r="E2" s="9"/>
    </row>
    <row r="3" spans="1:21">
      <c r="A3" s="6"/>
      <c r="B3" s="7"/>
    </row>
    <row r="4" spans="1:21" ht="42">
      <c r="A4" s="23" t="s">
        <v>75</v>
      </c>
      <c r="B4" s="24" t="s">
        <v>245</v>
      </c>
      <c r="D4" s="91" t="s">
        <v>86</v>
      </c>
      <c r="E4" s="91"/>
    </row>
    <row r="5" spans="1:21" ht="16">
      <c r="D5" s="26" t="s">
        <v>87</v>
      </c>
      <c r="E5" s="27">
        <f>SUMIF(C$15:C$196, "Limpieza profunda", J$15:J$1048576)</f>
        <v>11550</v>
      </c>
    </row>
    <row r="6" spans="1:21" ht="18">
      <c r="A6" s="92" t="s">
        <v>76</v>
      </c>
      <c r="B6" s="92"/>
      <c r="D6" s="26" t="s">
        <v>88</v>
      </c>
      <c r="E6" s="27">
        <f>SUMIF(C$15:C$196, "Anti-acné", J$15:J$1048576)</f>
        <v>2700</v>
      </c>
    </row>
    <row r="7" spans="1:21" ht="18">
      <c r="A7" s="25" t="s">
        <v>82</v>
      </c>
      <c r="B7" s="33">
        <f>SUM(J16:J79)</f>
        <v>30080</v>
      </c>
      <c r="D7" s="26" t="s">
        <v>90</v>
      </c>
      <c r="E7" s="27">
        <f>SUMIF(C$15:C$196, "Depilación Láser", J$15:J$1048576)</f>
        <v>2400</v>
      </c>
    </row>
    <row r="8" spans="1:21" ht="18">
      <c r="A8" s="25" t="s">
        <v>83</v>
      </c>
      <c r="B8" s="33">
        <f>SUM(T16:T23)</f>
        <v>15580</v>
      </c>
      <c r="D8" s="26" t="s">
        <v>91</v>
      </c>
      <c r="E8" s="27">
        <f>SUMIF(C$15:C$196, "Facial despigmentante", J$15:J$1048576)</f>
        <v>600</v>
      </c>
    </row>
    <row r="9" spans="1:21" ht="16">
      <c r="D9" s="26" t="s">
        <v>58</v>
      </c>
      <c r="E9" s="27">
        <f>SUMIF(C$15:C$196, "Dermapen", J$15:J$1048576)</f>
        <v>1300</v>
      </c>
    </row>
    <row r="10" spans="1:21" ht="16">
      <c r="B10" s="77">
        <f>B7-B8</f>
        <v>14500</v>
      </c>
      <c r="D10" s="26" t="s">
        <v>92</v>
      </c>
      <c r="E10" s="27">
        <f>SUMIF(C$15:C$196, "Lifting facial", J$15:J$1048576)</f>
        <v>0</v>
      </c>
    </row>
    <row r="11" spans="1:21" ht="16">
      <c r="B11" s="77"/>
      <c r="D11" s="26" t="s">
        <v>89</v>
      </c>
      <c r="E11" s="27">
        <f>SUMIF(C$15:C$196, "PRODUCTO", J$15:J$1048576)</f>
        <v>3290</v>
      </c>
    </row>
    <row r="12" spans="1:21" ht="16">
      <c r="D12" s="26" t="s">
        <v>98</v>
      </c>
      <c r="E12" s="27">
        <f>SUMIF(C$15:C$196, "Otro", J$15:J$1048576)</f>
        <v>7840</v>
      </c>
    </row>
    <row r="13" spans="1:21">
      <c r="E13" s="2"/>
    </row>
    <row r="14" spans="1:21" ht="32" customHeight="1">
      <c r="A14" s="93" t="s">
        <v>94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N14" s="94" t="s">
        <v>96</v>
      </c>
      <c r="O14" s="94"/>
      <c r="P14" s="94"/>
      <c r="Q14" s="94"/>
      <c r="R14" s="94"/>
      <c r="S14" s="94"/>
      <c r="T14" s="94"/>
      <c r="U14" s="94"/>
    </row>
    <row r="15" spans="1:21" ht="16">
      <c r="A15" s="12" t="s">
        <v>81</v>
      </c>
      <c r="B15" s="12" t="s">
        <v>78</v>
      </c>
      <c r="C15" s="12" t="s">
        <v>97</v>
      </c>
      <c r="D15" s="13" t="s">
        <v>77</v>
      </c>
      <c r="E15" s="12" t="s">
        <v>79</v>
      </c>
      <c r="F15" s="12" t="s">
        <v>80</v>
      </c>
      <c r="G15" s="12" t="s">
        <v>2</v>
      </c>
      <c r="H15" s="12" t="s">
        <v>1</v>
      </c>
      <c r="I15" s="12" t="s">
        <v>3</v>
      </c>
      <c r="J15" s="12" t="s">
        <v>4</v>
      </c>
      <c r="K15" s="12" t="s">
        <v>95</v>
      </c>
      <c r="N15" s="28" t="s">
        <v>81</v>
      </c>
      <c r="O15" s="28" t="s">
        <v>5</v>
      </c>
      <c r="P15" s="28" t="s">
        <v>79</v>
      </c>
      <c r="Q15" s="28" t="s">
        <v>80</v>
      </c>
      <c r="R15" s="28" t="s">
        <v>2</v>
      </c>
      <c r="S15" s="28" t="s">
        <v>1</v>
      </c>
      <c r="T15" s="28" t="s">
        <v>4</v>
      </c>
      <c r="U15" s="28" t="s">
        <v>95</v>
      </c>
    </row>
    <row r="16" spans="1:21">
      <c r="A16" s="14">
        <v>45901</v>
      </c>
      <c r="B16" s="15" t="s">
        <v>246</v>
      </c>
      <c r="C16" s="15" t="s">
        <v>98</v>
      </c>
      <c r="D16" s="16" t="s">
        <v>247</v>
      </c>
      <c r="E16" s="15"/>
      <c r="F16" s="15"/>
      <c r="G16" s="17"/>
      <c r="H16" s="17"/>
      <c r="I16" s="17"/>
      <c r="J16" s="17">
        <v>0</v>
      </c>
      <c r="K16" s="18"/>
      <c r="N16" s="14">
        <v>45902</v>
      </c>
      <c r="O16" s="15" t="s">
        <v>261</v>
      </c>
      <c r="P16" s="15" t="s">
        <v>84</v>
      </c>
      <c r="Q16" s="15" t="s">
        <v>85</v>
      </c>
      <c r="R16" s="17">
        <f t="shared" ref="R16:R23" si="0">T16-S16</f>
        <v>294</v>
      </c>
      <c r="S16" s="17">
        <f>T16*0.16</f>
        <v>56</v>
      </c>
      <c r="T16" s="17">
        <v>350</v>
      </c>
      <c r="U16" s="18" t="s">
        <v>262</v>
      </c>
    </row>
    <row r="17" spans="1:23">
      <c r="A17" s="14">
        <v>45901</v>
      </c>
      <c r="B17" s="20" t="s">
        <v>248</v>
      </c>
      <c r="C17" s="20" t="s">
        <v>98</v>
      </c>
      <c r="D17" s="21" t="s">
        <v>249</v>
      </c>
      <c r="E17" s="20" t="s">
        <v>8</v>
      </c>
      <c r="F17" s="20" t="s">
        <v>19</v>
      </c>
      <c r="G17" s="22">
        <f>J17-H17</f>
        <v>336</v>
      </c>
      <c r="H17" s="22">
        <f>J17*0.16</f>
        <v>64</v>
      </c>
      <c r="I17" s="22">
        <v>0</v>
      </c>
      <c r="J17" s="22">
        <v>400</v>
      </c>
      <c r="K17" s="18"/>
      <c r="N17" s="19">
        <v>45917</v>
      </c>
      <c r="O17" s="20" t="s">
        <v>285</v>
      </c>
      <c r="P17" s="20" t="s">
        <v>8</v>
      </c>
      <c r="Q17" s="20" t="s">
        <v>19</v>
      </c>
      <c r="R17" s="17">
        <f t="shared" si="0"/>
        <v>6720</v>
      </c>
      <c r="S17" s="17">
        <f t="shared" ref="S17:S22" si="1">T17*0.16</f>
        <v>1280</v>
      </c>
      <c r="T17" s="22">
        <v>8000</v>
      </c>
      <c r="U17" s="18" t="s">
        <v>180</v>
      </c>
    </row>
    <row r="18" spans="1:23">
      <c r="A18" s="14">
        <v>45901</v>
      </c>
      <c r="B18" s="15" t="s">
        <v>250</v>
      </c>
      <c r="C18" s="15" t="s">
        <v>88</v>
      </c>
      <c r="D18" s="16"/>
      <c r="E18" s="15" t="s">
        <v>8</v>
      </c>
      <c r="F18" s="15" t="s">
        <v>19</v>
      </c>
      <c r="G18" s="22">
        <f t="shared" ref="G18:G51" si="2">J18-H18</f>
        <v>504</v>
      </c>
      <c r="H18" s="22">
        <f>J18*0.16</f>
        <v>96</v>
      </c>
      <c r="I18" s="17">
        <v>0</v>
      </c>
      <c r="J18" s="17">
        <v>600</v>
      </c>
      <c r="K18" s="18"/>
      <c r="N18" s="14">
        <v>45918</v>
      </c>
      <c r="O18" s="15" t="s">
        <v>217</v>
      </c>
      <c r="P18" s="15" t="s">
        <v>84</v>
      </c>
      <c r="Q18" s="15" t="s">
        <v>85</v>
      </c>
      <c r="R18" s="17">
        <f t="shared" si="0"/>
        <v>252</v>
      </c>
      <c r="S18" s="17">
        <f t="shared" si="1"/>
        <v>48</v>
      </c>
      <c r="T18" s="17">
        <v>300</v>
      </c>
      <c r="U18" s="18" t="s">
        <v>290</v>
      </c>
    </row>
    <row r="19" spans="1:23" s="87" customFormat="1" ht="38" customHeight="1">
      <c r="A19" s="72">
        <v>45901</v>
      </c>
      <c r="B19" s="83" t="s">
        <v>250</v>
      </c>
      <c r="C19" s="83" t="s">
        <v>98</v>
      </c>
      <c r="D19" s="84" t="s">
        <v>251</v>
      </c>
      <c r="E19" s="83" t="s">
        <v>8</v>
      </c>
      <c r="F19" s="83" t="s">
        <v>19</v>
      </c>
      <c r="G19" s="85">
        <f t="shared" si="2"/>
        <v>478.8</v>
      </c>
      <c r="H19" s="85">
        <f>J19*0.16</f>
        <v>91.2</v>
      </c>
      <c r="I19" s="85">
        <v>0</v>
      </c>
      <c r="J19" s="85">
        <v>570</v>
      </c>
      <c r="K19" s="86"/>
      <c r="N19" s="72">
        <v>45924</v>
      </c>
      <c r="O19" s="74" t="s">
        <v>307</v>
      </c>
      <c r="P19" s="74"/>
      <c r="Q19" s="74"/>
      <c r="R19" s="17">
        <f t="shared" si="0"/>
        <v>2100</v>
      </c>
      <c r="S19" s="17">
        <f t="shared" si="1"/>
        <v>400</v>
      </c>
      <c r="T19" s="75">
        <v>2500</v>
      </c>
      <c r="U19" s="86"/>
      <c r="W19" s="87">
        <v>4300</v>
      </c>
    </row>
    <row r="20" spans="1:23">
      <c r="A20" s="14">
        <v>45902</v>
      </c>
      <c r="B20" s="15" t="s">
        <v>259</v>
      </c>
      <c r="C20" s="15" t="s">
        <v>99</v>
      </c>
      <c r="D20" s="16" t="s">
        <v>260</v>
      </c>
      <c r="E20" s="15" t="s">
        <v>84</v>
      </c>
      <c r="F20" s="15" t="s">
        <v>85</v>
      </c>
      <c r="G20" s="22">
        <f t="shared" si="2"/>
        <v>294</v>
      </c>
      <c r="H20" s="22">
        <f>J20*0.16</f>
        <v>56</v>
      </c>
      <c r="I20" s="17"/>
      <c r="J20" s="17">
        <v>350</v>
      </c>
      <c r="K20" s="18"/>
      <c r="N20" s="19"/>
      <c r="O20" s="20" t="s">
        <v>241</v>
      </c>
      <c r="P20" s="20"/>
      <c r="Q20" s="20"/>
      <c r="R20" s="17">
        <f t="shared" si="0"/>
        <v>2100</v>
      </c>
      <c r="S20" s="17">
        <f t="shared" si="1"/>
        <v>400</v>
      </c>
      <c r="T20" s="22">
        <v>2500</v>
      </c>
      <c r="U20" s="18"/>
    </row>
    <row r="21" spans="1:23">
      <c r="A21" s="19">
        <v>45906</v>
      </c>
      <c r="B21" s="20" t="s">
        <v>267</v>
      </c>
      <c r="C21" s="20" t="s">
        <v>98</v>
      </c>
      <c r="D21" s="21" t="s">
        <v>249</v>
      </c>
      <c r="E21" s="20" t="s">
        <v>189</v>
      </c>
      <c r="F21" s="20" t="s">
        <v>85</v>
      </c>
      <c r="G21" s="22">
        <f t="shared" si="2"/>
        <v>336</v>
      </c>
      <c r="H21" s="22">
        <f>J21*0.16</f>
        <v>64</v>
      </c>
      <c r="I21" s="22"/>
      <c r="J21" s="22">
        <v>400</v>
      </c>
      <c r="K21" s="18"/>
      <c r="N21" s="14"/>
      <c r="O21" s="15" t="s">
        <v>308</v>
      </c>
      <c r="P21" s="15"/>
      <c r="Q21" s="15"/>
      <c r="R21" s="17">
        <f t="shared" si="0"/>
        <v>361.2</v>
      </c>
      <c r="S21" s="17">
        <f t="shared" si="1"/>
        <v>68.8</v>
      </c>
      <c r="T21" s="17">
        <v>430</v>
      </c>
      <c r="U21" s="18"/>
    </row>
    <row r="22" spans="1:23">
      <c r="A22" s="19">
        <v>45906</v>
      </c>
      <c r="B22" s="15" t="s">
        <v>267</v>
      </c>
      <c r="C22" s="15" t="s">
        <v>98</v>
      </c>
      <c r="D22" s="16" t="s">
        <v>269</v>
      </c>
      <c r="E22" s="15" t="s">
        <v>189</v>
      </c>
      <c r="F22" s="15" t="s">
        <v>85</v>
      </c>
      <c r="G22" s="22">
        <f t="shared" si="2"/>
        <v>394.8</v>
      </c>
      <c r="H22" s="22">
        <f t="shared" ref="H22:H51" si="3">J22*0.16</f>
        <v>75.2</v>
      </c>
      <c r="I22" s="17"/>
      <c r="J22" s="17">
        <v>470</v>
      </c>
      <c r="K22" s="18"/>
      <c r="N22" s="19">
        <v>45927</v>
      </c>
      <c r="O22" s="20" t="s">
        <v>179</v>
      </c>
      <c r="P22" s="20"/>
      <c r="Q22" s="20"/>
      <c r="R22" s="17">
        <f t="shared" si="0"/>
        <v>336</v>
      </c>
      <c r="S22" s="17">
        <f t="shared" si="1"/>
        <v>64</v>
      </c>
      <c r="T22" s="22">
        <v>400</v>
      </c>
      <c r="U22" s="18"/>
      <c r="W22" s="77">
        <f>W19-T19-T21</f>
        <v>1370</v>
      </c>
    </row>
    <row r="23" spans="1:23">
      <c r="A23" s="19">
        <v>45906</v>
      </c>
      <c r="B23" s="20" t="s">
        <v>272</v>
      </c>
      <c r="C23" s="20" t="s">
        <v>16</v>
      </c>
      <c r="D23" s="21"/>
      <c r="E23" s="20" t="s">
        <v>8</v>
      </c>
      <c r="F23" s="20" t="s">
        <v>19</v>
      </c>
      <c r="G23" s="22">
        <f>J23-H23</f>
        <v>420</v>
      </c>
      <c r="H23" s="22">
        <f t="shared" si="3"/>
        <v>80</v>
      </c>
      <c r="I23" s="22"/>
      <c r="J23" s="22">
        <v>500</v>
      </c>
      <c r="K23" s="18"/>
      <c r="N23" s="19">
        <v>45927</v>
      </c>
      <c r="O23" s="20" t="s">
        <v>317</v>
      </c>
      <c r="P23" s="20"/>
      <c r="Q23" s="20"/>
      <c r="R23" s="17">
        <f t="shared" si="0"/>
        <v>924</v>
      </c>
      <c r="S23" s="17">
        <f>T23*0.16</f>
        <v>176</v>
      </c>
      <c r="T23" s="22">
        <v>1100</v>
      </c>
      <c r="U23" s="18"/>
    </row>
    <row r="24" spans="1:23">
      <c r="A24" s="19">
        <v>45906</v>
      </c>
      <c r="B24" s="15" t="s">
        <v>264</v>
      </c>
      <c r="C24" s="15" t="s">
        <v>91</v>
      </c>
      <c r="D24" s="16"/>
      <c r="E24" s="15" t="s">
        <v>8</v>
      </c>
      <c r="F24" s="15" t="s">
        <v>19</v>
      </c>
      <c r="G24" s="22">
        <f t="shared" si="2"/>
        <v>504</v>
      </c>
      <c r="H24" s="22">
        <f t="shared" si="3"/>
        <v>96</v>
      </c>
      <c r="I24" s="17"/>
      <c r="J24" s="17">
        <v>600</v>
      </c>
      <c r="K24" s="18"/>
    </row>
    <row r="25" spans="1:23">
      <c r="A25" s="19">
        <v>45906</v>
      </c>
      <c r="B25" s="20" t="s">
        <v>268</v>
      </c>
      <c r="C25" s="20" t="s">
        <v>16</v>
      </c>
      <c r="D25" s="21" t="s">
        <v>289</v>
      </c>
      <c r="E25" s="20"/>
      <c r="F25" s="20"/>
      <c r="G25" s="22">
        <f t="shared" si="2"/>
        <v>0</v>
      </c>
      <c r="H25" s="22">
        <f t="shared" si="3"/>
        <v>0</v>
      </c>
      <c r="I25" s="22"/>
      <c r="J25" s="22"/>
      <c r="K25" s="18"/>
      <c r="N25" s="29"/>
      <c r="O25" s="29"/>
      <c r="P25" s="29"/>
      <c r="Q25" s="29"/>
      <c r="R25" s="29"/>
      <c r="S25" s="29"/>
      <c r="T25" s="29"/>
      <c r="U25" s="29"/>
      <c r="V25" s="29"/>
    </row>
    <row r="26" spans="1:23">
      <c r="A26" s="19">
        <v>45906</v>
      </c>
      <c r="B26" s="15" t="s">
        <v>270</v>
      </c>
      <c r="C26" s="15" t="s">
        <v>93</v>
      </c>
      <c r="D26" s="16" t="s">
        <v>271</v>
      </c>
      <c r="E26" s="15" t="s">
        <v>8</v>
      </c>
      <c r="F26" s="15" t="s">
        <v>19</v>
      </c>
      <c r="G26" s="22">
        <f t="shared" si="2"/>
        <v>478.8</v>
      </c>
      <c r="H26" s="22">
        <f t="shared" si="3"/>
        <v>91.2</v>
      </c>
      <c r="I26" s="17"/>
      <c r="J26" s="17">
        <v>570</v>
      </c>
      <c r="K26" s="18"/>
      <c r="N26" s="29"/>
      <c r="O26" s="29"/>
      <c r="P26" s="29"/>
      <c r="Q26" s="29"/>
      <c r="R26" s="29"/>
      <c r="S26" s="29"/>
      <c r="T26" s="29"/>
      <c r="U26" s="29"/>
      <c r="V26" s="29"/>
    </row>
    <row r="27" spans="1:23">
      <c r="A27" s="19">
        <v>45906</v>
      </c>
      <c r="B27" s="20" t="s">
        <v>263</v>
      </c>
      <c r="C27" s="20" t="s">
        <v>93</v>
      </c>
      <c r="D27" s="21" t="s">
        <v>273</v>
      </c>
      <c r="E27" s="20" t="s">
        <v>8</v>
      </c>
      <c r="F27" s="20" t="s">
        <v>19</v>
      </c>
      <c r="G27" s="22">
        <f t="shared" si="2"/>
        <v>336</v>
      </c>
      <c r="H27" s="22">
        <f t="shared" si="3"/>
        <v>64</v>
      </c>
      <c r="I27" s="22"/>
      <c r="J27" s="22">
        <v>400</v>
      </c>
      <c r="K27" s="18"/>
      <c r="N27" s="30"/>
      <c r="O27" s="31"/>
      <c r="P27" s="31"/>
      <c r="Q27" s="31"/>
      <c r="R27" s="32"/>
      <c r="S27" s="32"/>
      <c r="T27" s="32"/>
      <c r="U27" s="31"/>
      <c r="V27" s="29"/>
    </row>
    <row r="28" spans="1:23">
      <c r="A28" s="19">
        <v>45906</v>
      </c>
      <c r="B28" s="15" t="s">
        <v>274</v>
      </c>
      <c r="C28" s="15" t="s">
        <v>16</v>
      </c>
      <c r="D28" s="16"/>
      <c r="E28" s="15" t="s">
        <v>8</v>
      </c>
      <c r="F28" s="20" t="s">
        <v>19</v>
      </c>
      <c r="G28" s="22">
        <f t="shared" si="2"/>
        <v>420</v>
      </c>
      <c r="H28" s="22">
        <f t="shared" si="3"/>
        <v>80</v>
      </c>
      <c r="I28" s="17"/>
      <c r="J28" s="17">
        <v>500</v>
      </c>
      <c r="K28" s="18"/>
      <c r="N28" s="30"/>
      <c r="O28" s="31"/>
      <c r="P28" s="31"/>
      <c r="Q28" s="31"/>
      <c r="R28" s="32"/>
      <c r="S28" s="32"/>
      <c r="T28" s="32"/>
      <c r="U28" s="31"/>
      <c r="V28" s="29"/>
    </row>
    <row r="29" spans="1:23">
      <c r="A29" s="19">
        <v>45906</v>
      </c>
      <c r="B29" s="15" t="s">
        <v>274</v>
      </c>
      <c r="C29" s="20" t="s">
        <v>98</v>
      </c>
      <c r="D29" s="21" t="s">
        <v>275</v>
      </c>
      <c r="E29" s="20" t="s">
        <v>8</v>
      </c>
      <c r="F29" s="20" t="s">
        <v>19</v>
      </c>
      <c r="G29" s="22">
        <f t="shared" si="2"/>
        <v>126</v>
      </c>
      <c r="H29" s="22">
        <f t="shared" si="3"/>
        <v>24</v>
      </c>
      <c r="I29" s="22"/>
      <c r="J29" s="22">
        <v>150</v>
      </c>
      <c r="K29" s="18"/>
      <c r="N29" s="30"/>
      <c r="O29" s="31"/>
      <c r="P29" s="31"/>
      <c r="Q29" s="31"/>
      <c r="R29" s="32"/>
      <c r="S29" s="32"/>
      <c r="T29" s="32"/>
      <c r="U29" s="31"/>
      <c r="V29" s="29"/>
    </row>
    <row r="30" spans="1:23">
      <c r="A30" s="19">
        <v>45906</v>
      </c>
      <c r="B30" s="15" t="s">
        <v>264</v>
      </c>
      <c r="C30" s="15" t="s">
        <v>98</v>
      </c>
      <c r="D30" s="16" t="s">
        <v>276</v>
      </c>
      <c r="E30" s="15" t="s">
        <v>84</v>
      </c>
      <c r="F30" s="20" t="s">
        <v>85</v>
      </c>
      <c r="G30" s="22">
        <f t="shared" si="2"/>
        <v>168</v>
      </c>
      <c r="H30" s="22">
        <f t="shared" si="3"/>
        <v>32</v>
      </c>
      <c r="I30" s="17"/>
      <c r="J30" s="17">
        <v>200</v>
      </c>
      <c r="K30" s="18"/>
      <c r="N30" s="30"/>
      <c r="O30" s="31"/>
      <c r="P30" s="31"/>
      <c r="Q30" s="31"/>
      <c r="R30" s="32"/>
      <c r="S30" s="32"/>
      <c r="T30" s="32"/>
      <c r="U30" s="31"/>
      <c r="V30" s="29"/>
    </row>
    <row r="31" spans="1:23">
      <c r="A31" s="19">
        <v>45910</v>
      </c>
      <c r="B31" s="20" t="s">
        <v>277</v>
      </c>
      <c r="C31" s="20" t="s">
        <v>16</v>
      </c>
      <c r="D31" s="21"/>
      <c r="E31" s="20" t="s">
        <v>84</v>
      </c>
      <c r="F31" s="20" t="s">
        <v>85</v>
      </c>
      <c r="G31" s="22">
        <f t="shared" si="2"/>
        <v>504</v>
      </c>
      <c r="H31" s="22">
        <f t="shared" si="3"/>
        <v>96</v>
      </c>
      <c r="I31" s="22"/>
      <c r="J31" s="22">
        <v>600</v>
      </c>
      <c r="K31" s="18"/>
      <c r="N31" s="30"/>
      <c r="O31" s="31"/>
      <c r="P31" s="31"/>
      <c r="Q31" s="31"/>
      <c r="R31" s="32"/>
      <c r="S31" s="32"/>
      <c r="T31" s="32"/>
      <c r="U31" s="31"/>
      <c r="V31" s="29"/>
    </row>
    <row r="32" spans="1:23">
      <c r="A32" s="19">
        <v>45910</v>
      </c>
      <c r="B32" s="15" t="s">
        <v>278</v>
      </c>
      <c r="C32" s="15" t="s">
        <v>16</v>
      </c>
      <c r="D32" s="16"/>
      <c r="E32" s="15" t="s">
        <v>84</v>
      </c>
      <c r="F32" s="15" t="s">
        <v>85</v>
      </c>
      <c r="G32" s="22">
        <f t="shared" si="2"/>
        <v>504</v>
      </c>
      <c r="H32" s="22">
        <f t="shared" si="3"/>
        <v>96</v>
      </c>
      <c r="I32" s="17"/>
      <c r="J32" s="17">
        <v>600</v>
      </c>
      <c r="K32" s="18"/>
      <c r="N32" s="30"/>
      <c r="O32" s="31"/>
      <c r="P32" s="31"/>
      <c r="Q32" s="31"/>
      <c r="R32" s="32"/>
      <c r="S32" s="32"/>
      <c r="T32" s="32"/>
      <c r="U32" s="31"/>
      <c r="V32" s="29"/>
    </row>
    <row r="33" spans="1:22">
      <c r="A33" s="19">
        <v>45910</v>
      </c>
      <c r="B33" s="20" t="s">
        <v>279</v>
      </c>
      <c r="C33" s="20" t="s">
        <v>58</v>
      </c>
      <c r="D33" s="21"/>
      <c r="E33" s="20" t="s">
        <v>8</v>
      </c>
      <c r="F33" s="20" t="s">
        <v>19</v>
      </c>
      <c r="G33" s="22">
        <f t="shared" si="2"/>
        <v>504</v>
      </c>
      <c r="H33" s="22">
        <f t="shared" si="3"/>
        <v>96</v>
      </c>
      <c r="I33" s="22"/>
      <c r="J33" s="22">
        <v>600</v>
      </c>
      <c r="K33" s="18"/>
      <c r="N33" s="30"/>
      <c r="O33" s="31"/>
      <c r="P33" s="31"/>
      <c r="Q33" s="31"/>
      <c r="R33" s="32"/>
      <c r="S33" s="32"/>
      <c r="T33" s="32"/>
      <c r="U33" s="31"/>
      <c r="V33" s="29"/>
    </row>
    <row r="34" spans="1:22">
      <c r="A34" s="19">
        <v>45910</v>
      </c>
      <c r="B34" s="15" t="s">
        <v>279</v>
      </c>
      <c r="C34" s="15" t="s">
        <v>99</v>
      </c>
      <c r="D34" s="16"/>
      <c r="E34" s="15" t="s">
        <v>8</v>
      </c>
      <c r="F34" s="15" t="s">
        <v>19</v>
      </c>
      <c r="G34" s="22">
        <f t="shared" si="2"/>
        <v>420</v>
      </c>
      <c r="H34" s="22">
        <f t="shared" si="3"/>
        <v>80</v>
      </c>
      <c r="I34" s="17"/>
      <c r="J34" s="17">
        <v>500</v>
      </c>
      <c r="K34" s="18"/>
      <c r="N34" s="30"/>
      <c r="O34" s="31"/>
      <c r="P34" s="31"/>
      <c r="Q34" s="31"/>
      <c r="R34" s="32"/>
      <c r="S34" s="32"/>
      <c r="T34" s="32"/>
      <c r="U34" s="31"/>
      <c r="V34" s="29"/>
    </row>
    <row r="35" spans="1:22">
      <c r="A35" s="19">
        <v>45912</v>
      </c>
      <c r="B35" s="20" t="s">
        <v>280</v>
      </c>
      <c r="C35" s="20" t="s">
        <v>16</v>
      </c>
      <c r="D35" s="21"/>
      <c r="E35" s="20" t="s">
        <v>8</v>
      </c>
      <c r="F35" s="20" t="s">
        <v>19</v>
      </c>
      <c r="G35" s="22">
        <f>J35-H35</f>
        <v>504</v>
      </c>
      <c r="H35" s="22">
        <f t="shared" si="3"/>
        <v>96</v>
      </c>
      <c r="I35" s="22"/>
      <c r="J35" s="22">
        <v>600</v>
      </c>
      <c r="K35" s="18"/>
      <c r="N35" s="30"/>
      <c r="O35" s="31"/>
      <c r="P35" s="31"/>
      <c r="Q35" s="31"/>
      <c r="R35" s="32"/>
      <c r="S35" s="32"/>
      <c r="T35" s="32"/>
      <c r="U35" s="31"/>
      <c r="V35" s="29"/>
    </row>
    <row r="36" spans="1:22">
      <c r="A36" s="19">
        <v>45913</v>
      </c>
      <c r="B36" s="15" t="s">
        <v>281</v>
      </c>
      <c r="C36" s="15" t="s">
        <v>98</v>
      </c>
      <c r="D36" s="16"/>
      <c r="E36" s="15" t="s">
        <v>84</v>
      </c>
      <c r="F36" s="15" t="s">
        <v>85</v>
      </c>
      <c r="G36" s="22">
        <f t="shared" si="2"/>
        <v>504</v>
      </c>
      <c r="H36" s="22">
        <f t="shared" si="3"/>
        <v>96</v>
      </c>
      <c r="I36" s="17"/>
      <c r="J36" s="17">
        <v>600</v>
      </c>
      <c r="K36" s="18"/>
      <c r="N36" s="30"/>
      <c r="O36" s="31"/>
      <c r="P36" s="31"/>
      <c r="Q36" s="31"/>
      <c r="R36" s="32"/>
      <c r="S36" s="32"/>
      <c r="T36" s="32"/>
      <c r="U36" s="31"/>
      <c r="V36" s="29"/>
    </row>
    <row r="37" spans="1:22">
      <c r="A37" s="19">
        <v>45913</v>
      </c>
      <c r="B37" s="20" t="s">
        <v>169</v>
      </c>
      <c r="C37" s="20" t="s">
        <v>99</v>
      </c>
      <c r="D37" s="21"/>
      <c r="E37" s="20" t="s">
        <v>84</v>
      </c>
      <c r="F37" s="20" t="s">
        <v>85</v>
      </c>
      <c r="G37" s="22">
        <f t="shared" si="2"/>
        <v>294</v>
      </c>
      <c r="H37" s="22">
        <f t="shared" si="3"/>
        <v>56</v>
      </c>
      <c r="I37" s="22"/>
      <c r="J37" s="22">
        <v>350</v>
      </c>
      <c r="K37" s="18"/>
      <c r="N37" s="30"/>
      <c r="O37" s="31"/>
      <c r="P37" s="31"/>
      <c r="Q37" s="31"/>
      <c r="R37" s="32"/>
      <c r="S37" s="32"/>
      <c r="T37" s="32"/>
      <c r="U37" s="31"/>
      <c r="V37" s="29"/>
    </row>
    <row r="38" spans="1:22">
      <c r="A38" s="19">
        <v>45913</v>
      </c>
      <c r="B38" s="15" t="s">
        <v>282</v>
      </c>
      <c r="C38" s="15" t="s">
        <v>98</v>
      </c>
      <c r="D38" s="16"/>
      <c r="E38" s="15" t="s">
        <v>8</v>
      </c>
      <c r="F38" s="15" t="s">
        <v>19</v>
      </c>
      <c r="G38" s="22">
        <f t="shared" si="2"/>
        <v>588</v>
      </c>
      <c r="H38" s="22">
        <f t="shared" si="3"/>
        <v>112</v>
      </c>
      <c r="I38" s="17"/>
      <c r="J38" s="17">
        <v>700</v>
      </c>
      <c r="K38" s="18"/>
      <c r="N38" s="30"/>
      <c r="O38" s="31"/>
      <c r="P38" s="31"/>
      <c r="Q38" s="31"/>
      <c r="R38" s="32"/>
      <c r="S38" s="32"/>
      <c r="T38" s="32"/>
      <c r="U38" s="31"/>
      <c r="V38" s="29"/>
    </row>
    <row r="39" spans="1:22">
      <c r="A39" s="19">
        <v>45913</v>
      </c>
      <c r="B39" s="20" t="s">
        <v>193</v>
      </c>
      <c r="C39" s="20" t="s">
        <v>58</v>
      </c>
      <c r="D39" s="21"/>
      <c r="E39" s="20" t="s">
        <v>8</v>
      </c>
      <c r="F39" s="20" t="s">
        <v>19</v>
      </c>
      <c r="G39" s="22">
        <f t="shared" si="2"/>
        <v>588</v>
      </c>
      <c r="H39" s="22">
        <f t="shared" si="3"/>
        <v>112</v>
      </c>
      <c r="I39" s="22"/>
      <c r="J39" s="22">
        <v>700</v>
      </c>
      <c r="K39" s="18"/>
      <c r="N39" s="30"/>
      <c r="O39" s="31"/>
      <c r="P39" s="31"/>
      <c r="Q39" s="31"/>
      <c r="R39" s="32"/>
      <c r="S39" s="32"/>
      <c r="T39" s="32"/>
      <c r="U39" s="31"/>
      <c r="V39" s="29"/>
    </row>
    <row r="40" spans="1:22">
      <c r="A40" s="19">
        <v>45917</v>
      </c>
      <c r="B40" s="20" t="s">
        <v>283</v>
      </c>
      <c r="C40" s="20" t="s">
        <v>16</v>
      </c>
      <c r="D40" s="21"/>
      <c r="E40" s="20" t="s">
        <v>8</v>
      </c>
      <c r="F40" s="20" t="s">
        <v>19</v>
      </c>
      <c r="G40" s="22">
        <f t="shared" si="2"/>
        <v>504</v>
      </c>
      <c r="H40" s="22">
        <f t="shared" si="3"/>
        <v>96</v>
      </c>
      <c r="I40" s="22"/>
      <c r="J40" s="22">
        <v>600</v>
      </c>
      <c r="K40" s="18"/>
      <c r="N40" s="29"/>
      <c r="O40" s="29"/>
      <c r="P40" s="29"/>
      <c r="Q40" s="29"/>
      <c r="R40" s="29"/>
      <c r="S40" s="29"/>
      <c r="T40" s="29"/>
      <c r="U40" s="29"/>
      <c r="V40" s="29"/>
    </row>
    <row r="41" spans="1:22">
      <c r="A41" s="19">
        <v>45917</v>
      </c>
      <c r="B41" s="20" t="s">
        <v>283</v>
      </c>
      <c r="C41" s="15" t="s">
        <v>93</v>
      </c>
      <c r="D41" s="16" t="s">
        <v>284</v>
      </c>
      <c r="E41" s="15" t="s">
        <v>84</v>
      </c>
      <c r="F41" s="15" t="s">
        <v>19</v>
      </c>
      <c r="G41" s="22">
        <f t="shared" si="2"/>
        <v>478.8</v>
      </c>
      <c r="H41" s="22">
        <f t="shared" si="3"/>
        <v>91.2</v>
      </c>
      <c r="I41" s="17"/>
      <c r="J41" s="17">
        <v>570</v>
      </c>
      <c r="K41" s="18"/>
      <c r="N41" s="29"/>
      <c r="O41" s="29"/>
      <c r="P41" s="29"/>
      <c r="Q41" s="29"/>
      <c r="R41" s="29"/>
      <c r="S41" s="29"/>
      <c r="T41" s="29"/>
      <c r="U41" s="29"/>
      <c r="V41" s="29"/>
    </row>
    <row r="42" spans="1:22">
      <c r="A42" s="19">
        <v>45918</v>
      </c>
      <c r="B42" s="20" t="s">
        <v>286</v>
      </c>
      <c r="C42" s="20" t="s">
        <v>16</v>
      </c>
      <c r="D42" s="21"/>
      <c r="E42" s="20" t="s">
        <v>189</v>
      </c>
      <c r="F42" s="20" t="s">
        <v>19</v>
      </c>
      <c r="G42" s="22">
        <f t="shared" si="2"/>
        <v>462</v>
      </c>
      <c r="H42" s="22">
        <f t="shared" si="3"/>
        <v>88</v>
      </c>
      <c r="I42" s="22"/>
      <c r="J42" s="22">
        <v>550</v>
      </c>
      <c r="K42" s="18"/>
      <c r="N42" s="29"/>
      <c r="O42" s="29"/>
      <c r="P42" s="29"/>
      <c r="Q42" s="29"/>
      <c r="R42" s="29"/>
      <c r="S42" s="29"/>
      <c r="T42" s="29"/>
      <c r="U42" s="29"/>
      <c r="V42" s="29"/>
    </row>
    <row r="43" spans="1:22">
      <c r="A43" s="19">
        <v>45918</v>
      </c>
      <c r="B43" s="15" t="s">
        <v>287</v>
      </c>
      <c r="C43" s="15" t="s">
        <v>16</v>
      </c>
      <c r="D43" s="16"/>
      <c r="E43" s="15" t="s">
        <v>8</v>
      </c>
      <c r="F43" s="15" t="s">
        <v>19</v>
      </c>
      <c r="G43" s="22">
        <f t="shared" si="2"/>
        <v>504</v>
      </c>
      <c r="H43" s="22">
        <f t="shared" si="3"/>
        <v>96</v>
      </c>
      <c r="I43" s="17"/>
      <c r="J43" s="17">
        <v>600</v>
      </c>
      <c r="K43" s="18"/>
      <c r="N43" s="29"/>
      <c r="O43" s="29"/>
      <c r="P43" s="29"/>
      <c r="Q43" s="29"/>
      <c r="R43" s="29"/>
      <c r="S43" s="29"/>
      <c r="T43" s="29"/>
      <c r="U43" s="29"/>
      <c r="V43" s="29"/>
    </row>
    <row r="44" spans="1:22">
      <c r="A44" s="19">
        <v>45918</v>
      </c>
      <c r="B44" s="15" t="s">
        <v>288</v>
      </c>
      <c r="C44" s="15" t="s">
        <v>88</v>
      </c>
      <c r="D44" s="16"/>
      <c r="E44" s="15" t="s">
        <v>8</v>
      </c>
      <c r="F44" s="15" t="s">
        <v>19</v>
      </c>
      <c r="G44" s="22">
        <f t="shared" si="2"/>
        <v>588</v>
      </c>
      <c r="H44" s="22">
        <f t="shared" si="3"/>
        <v>112</v>
      </c>
      <c r="I44" s="17"/>
      <c r="J44" s="17">
        <v>700</v>
      </c>
      <c r="K44" s="18"/>
    </row>
    <row r="45" spans="1:22">
      <c r="A45" s="19">
        <v>45918</v>
      </c>
      <c r="B45" s="15" t="s">
        <v>288</v>
      </c>
      <c r="C45" s="20" t="s">
        <v>93</v>
      </c>
      <c r="D45" s="21"/>
      <c r="E45" s="20" t="s">
        <v>8</v>
      </c>
      <c r="F45" s="20" t="s">
        <v>19</v>
      </c>
      <c r="G45" s="22">
        <f t="shared" si="2"/>
        <v>294</v>
      </c>
      <c r="H45" s="22">
        <f t="shared" si="3"/>
        <v>56</v>
      </c>
      <c r="I45" s="22"/>
      <c r="J45" s="22">
        <v>350</v>
      </c>
      <c r="K45" s="18"/>
    </row>
    <row r="46" spans="1:22">
      <c r="A46" s="19">
        <v>45918</v>
      </c>
      <c r="B46" s="15" t="s">
        <v>206</v>
      </c>
      <c r="C46" s="15" t="s">
        <v>16</v>
      </c>
      <c r="D46" s="16"/>
      <c r="E46" s="15" t="s">
        <v>8</v>
      </c>
      <c r="F46" s="15" t="s">
        <v>19</v>
      </c>
      <c r="G46" s="22">
        <f t="shared" si="2"/>
        <v>504</v>
      </c>
      <c r="H46" s="22">
        <f t="shared" si="3"/>
        <v>96</v>
      </c>
      <c r="I46" s="17"/>
      <c r="J46" s="17">
        <v>600</v>
      </c>
      <c r="K46" s="18"/>
    </row>
    <row r="47" spans="1:22">
      <c r="A47" s="19">
        <v>45919</v>
      </c>
      <c r="B47" s="20" t="s">
        <v>246</v>
      </c>
      <c r="C47" s="20" t="s">
        <v>88</v>
      </c>
      <c r="D47" s="21"/>
      <c r="E47" s="20" t="s">
        <v>8</v>
      </c>
      <c r="F47" s="20" t="s">
        <v>19</v>
      </c>
      <c r="G47" s="22">
        <f t="shared" si="2"/>
        <v>588</v>
      </c>
      <c r="H47" s="22">
        <f t="shared" si="3"/>
        <v>112</v>
      </c>
      <c r="I47" s="22"/>
      <c r="J47" s="22">
        <v>700</v>
      </c>
      <c r="K47" s="18"/>
    </row>
    <row r="48" spans="1:22">
      <c r="A48" s="19">
        <v>45919</v>
      </c>
      <c r="B48" s="15" t="s">
        <v>268</v>
      </c>
      <c r="C48" s="15" t="s">
        <v>16</v>
      </c>
      <c r="D48" s="16"/>
      <c r="E48" s="15" t="s">
        <v>84</v>
      </c>
      <c r="F48" s="15" t="s">
        <v>85</v>
      </c>
      <c r="G48" s="22">
        <f t="shared" si="2"/>
        <v>420</v>
      </c>
      <c r="H48" s="22">
        <f t="shared" si="3"/>
        <v>80</v>
      </c>
      <c r="I48" s="17"/>
      <c r="J48" s="17">
        <v>500</v>
      </c>
      <c r="K48" s="18"/>
    </row>
    <row r="49" spans="1:21">
      <c r="A49" s="19">
        <v>45920</v>
      </c>
      <c r="B49" s="20" t="s">
        <v>291</v>
      </c>
      <c r="C49" s="20" t="s">
        <v>16</v>
      </c>
      <c r="D49" s="21"/>
      <c r="E49" s="20" t="s">
        <v>8</v>
      </c>
      <c r="F49" s="20" t="s">
        <v>19</v>
      </c>
      <c r="G49" s="22">
        <f t="shared" si="2"/>
        <v>504</v>
      </c>
      <c r="H49" s="22">
        <f t="shared" si="3"/>
        <v>96</v>
      </c>
      <c r="I49" s="22"/>
      <c r="J49" s="22">
        <v>600</v>
      </c>
      <c r="K49" s="18" t="s">
        <v>293</v>
      </c>
    </row>
    <row r="50" spans="1:21">
      <c r="A50" s="19">
        <v>45920</v>
      </c>
      <c r="B50" s="15" t="s">
        <v>292</v>
      </c>
      <c r="C50" s="15" t="s">
        <v>16</v>
      </c>
      <c r="D50" s="16"/>
      <c r="E50" s="15" t="s">
        <v>8</v>
      </c>
      <c r="F50" s="15" t="s">
        <v>19</v>
      </c>
      <c r="G50" s="22">
        <f t="shared" si="2"/>
        <v>504</v>
      </c>
      <c r="H50" s="22">
        <f t="shared" si="3"/>
        <v>96</v>
      </c>
      <c r="I50" s="17"/>
      <c r="J50" s="17">
        <v>600</v>
      </c>
      <c r="K50" s="18"/>
      <c r="N50" s="30"/>
      <c r="O50" s="31"/>
      <c r="P50" s="31"/>
      <c r="Q50" s="31"/>
      <c r="R50" s="32"/>
      <c r="S50" s="32"/>
      <c r="T50" s="32"/>
      <c r="U50" s="31"/>
    </row>
    <row r="51" spans="1:21">
      <c r="A51" s="19">
        <v>45920</v>
      </c>
      <c r="B51" s="15" t="s">
        <v>292</v>
      </c>
      <c r="C51" s="20" t="s">
        <v>99</v>
      </c>
      <c r="D51" s="21"/>
      <c r="E51" s="20" t="s">
        <v>8</v>
      </c>
      <c r="F51" s="20" t="s">
        <v>19</v>
      </c>
      <c r="G51" s="22">
        <f t="shared" si="2"/>
        <v>252</v>
      </c>
      <c r="H51" s="22">
        <f t="shared" si="3"/>
        <v>48</v>
      </c>
      <c r="I51" s="22"/>
      <c r="J51" s="22">
        <v>300</v>
      </c>
      <c r="K51" s="18"/>
      <c r="N51" s="30"/>
      <c r="O51" s="31"/>
      <c r="P51" s="31"/>
      <c r="Q51" s="31"/>
      <c r="R51" s="32"/>
      <c r="S51" s="32"/>
      <c r="T51" s="32"/>
      <c r="U51" s="31"/>
    </row>
    <row r="52" spans="1:21">
      <c r="A52" s="19">
        <v>45922</v>
      </c>
      <c r="B52" s="15" t="s">
        <v>294</v>
      </c>
      <c r="C52" s="20" t="s">
        <v>16</v>
      </c>
      <c r="D52" s="21"/>
      <c r="E52" s="20" t="s">
        <v>8</v>
      </c>
      <c r="F52" s="20" t="s">
        <v>19</v>
      </c>
      <c r="G52" s="22">
        <f t="shared" ref="G52:G71" si="4">J52-H52</f>
        <v>420</v>
      </c>
      <c r="H52" s="22">
        <f t="shared" ref="H52:H71" si="5">J52*0.16</f>
        <v>80</v>
      </c>
      <c r="I52" s="22"/>
      <c r="J52" s="22">
        <v>500</v>
      </c>
      <c r="K52" s="18"/>
      <c r="N52" s="30"/>
      <c r="O52" s="31"/>
      <c r="P52" s="31"/>
      <c r="Q52" s="31"/>
      <c r="R52" s="32"/>
      <c r="S52" s="32"/>
      <c r="T52" s="32"/>
      <c r="U52" s="31"/>
    </row>
    <row r="53" spans="1:21">
      <c r="A53" s="19">
        <v>45922</v>
      </c>
      <c r="B53" s="15" t="s">
        <v>295</v>
      </c>
      <c r="C53" s="20" t="s">
        <v>16</v>
      </c>
      <c r="D53" s="21"/>
      <c r="E53" s="20" t="s">
        <v>84</v>
      </c>
      <c r="F53" s="20" t="s">
        <v>85</v>
      </c>
      <c r="G53" s="22">
        <f t="shared" si="4"/>
        <v>504</v>
      </c>
      <c r="H53" s="22">
        <f t="shared" si="5"/>
        <v>96</v>
      </c>
      <c r="I53" s="22"/>
      <c r="J53" s="22">
        <v>600</v>
      </c>
      <c r="K53" s="18"/>
      <c r="N53" s="30"/>
      <c r="O53" s="31"/>
      <c r="P53" s="31"/>
      <c r="Q53" s="31"/>
      <c r="R53" s="32"/>
      <c r="S53" s="32"/>
      <c r="T53" s="32"/>
      <c r="U53" s="31"/>
    </row>
    <row r="54" spans="1:21">
      <c r="A54" s="19">
        <v>45922</v>
      </c>
      <c r="B54" s="78" t="s">
        <v>296</v>
      </c>
      <c r="C54" s="80" t="s">
        <v>16</v>
      </c>
      <c r="D54" s="21"/>
      <c r="E54" s="20"/>
      <c r="F54" s="20"/>
      <c r="G54" s="89">
        <f t="shared" si="4"/>
        <v>504</v>
      </c>
      <c r="H54" s="89">
        <f t="shared" si="5"/>
        <v>96</v>
      </c>
      <c r="I54" s="22"/>
      <c r="J54" s="89">
        <v>600</v>
      </c>
      <c r="K54" s="18"/>
      <c r="N54" s="30"/>
      <c r="O54" s="31"/>
      <c r="P54" s="31"/>
      <c r="Q54" s="31"/>
      <c r="R54" s="32"/>
      <c r="S54" s="32"/>
      <c r="T54" s="32"/>
      <c r="U54" s="31"/>
    </row>
    <row r="55" spans="1:21">
      <c r="A55" s="19">
        <v>45922</v>
      </c>
      <c r="B55" s="15" t="s">
        <v>294</v>
      </c>
      <c r="C55" s="80" t="s">
        <v>93</v>
      </c>
      <c r="D55" s="21" t="s">
        <v>297</v>
      </c>
      <c r="E55" s="20" t="s">
        <v>8</v>
      </c>
      <c r="F55" s="20" t="s">
        <v>19</v>
      </c>
      <c r="G55" s="89">
        <f t="shared" si="4"/>
        <v>672</v>
      </c>
      <c r="H55" s="89">
        <f t="shared" si="5"/>
        <v>128</v>
      </c>
      <c r="I55" s="22"/>
      <c r="J55" s="89">
        <v>800</v>
      </c>
      <c r="K55" s="18"/>
      <c r="N55" s="29"/>
      <c r="O55" s="29"/>
      <c r="P55" s="29"/>
      <c r="Q55" s="29"/>
      <c r="R55" s="29"/>
      <c r="S55" s="29"/>
      <c r="T55" s="29"/>
      <c r="U55" s="29"/>
    </row>
    <row r="56" spans="1:21" ht="30">
      <c r="A56" s="19">
        <v>45922</v>
      </c>
      <c r="B56" s="78" t="s">
        <v>250</v>
      </c>
      <c r="C56" s="80" t="s">
        <v>93</v>
      </c>
      <c r="D56" s="21" t="s">
        <v>300</v>
      </c>
      <c r="E56" s="80" t="s">
        <v>8</v>
      </c>
      <c r="F56" s="80" t="s">
        <v>19</v>
      </c>
      <c r="G56" s="89">
        <f t="shared" si="4"/>
        <v>504</v>
      </c>
      <c r="H56" s="89">
        <f t="shared" si="5"/>
        <v>96</v>
      </c>
      <c r="I56" s="22"/>
      <c r="J56" s="89">
        <v>600</v>
      </c>
      <c r="K56" s="18" t="s">
        <v>298</v>
      </c>
    </row>
    <row r="57" spans="1:21">
      <c r="A57" s="19">
        <v>45923</v>
      </c>
      <c r="B57" s="15" t="s">
        <v>299</v>
      </c>
      <c r="C57" s="80" t="s">
        <v>98</v>
      </c>
      <c r="D57" s="21"/>
      <c r="E57" s="20" t="s">
        <v>8</v>
      </c>
      <c r="F57" s="20" t="s">
        <v>19</v>
      </c>
      <c r="G57" s="89">
        <f t="shared" si="4"/>
        <v>840</v>
      </c>
      <c r="H57" s="89">
        <f t="shared" si="5"/>
        <v>160</v>
      </c>
      <c r="I57" s="22"/>
      <c r="J57" s="89">
        <v>1000</v>
      </c>
      <c r="K57" s="18"/>
      <c r="N57" s="29"/>
      <c r="O57" s="29"/>
      <c r="P57" s="29"/>
      <c r="Q57" s="29"/>
      <c r="R57" s="29"/>
      <c r="S57" s="29"/>
      <c r="T57" s="29"/>
      <c r="U57" s="29"/>
    </row>
    <row r="58" spans="1:21">
      <c r="A58" s="19">
        <v>45924</v>
      </c>
      <c r="B58" s="15" t="s">
        <v>302</v>
      </c>
      <c r="C58" s="80" t="s">
        <v>16</v>
      </c>
      <c r="D58" s="21"/>
      <c r="E58" s="20" t="s">
        <v>8</v>
      </c>
      <c r="F58" s="20" t="s">
        <v>19</v>
      </c>
      <c r="G58" s="89">
        <f t="shared" si="4"/>
        <v>504</v>
      </c>
      <c r="H58" s="89">
        <f t="shared" si="5"/>
        <v>96</v>
      </c>
      <c r="I58" s="22"/>
      <c r="J58" s="89">
        <v>600</v>
      </c>
      <c r="K58" s="18"/>
      <c r="N58" s="29"/>
      <c r="O58" s="29"/>
      <c r="P58" s="29"/>
      <c r="Q58" s="29"/>
      <c r="R58" s="29"/>
      <c r="S58" s="29"/>
      <c r="T58" s="29"/>
      <c r="U58" s="29"/>
    </row>
    <row r="59" spans="1:21">
      <c r="A59" s="19">
        <v>45924</v>
      </c>
      <c r="B59" s="20" t="s">
        <v>173</v>
      </c>
      <c r="C59" s="20" t="s">
        <v>16</v>
      </c>
      <c r="D59" s="21"/>
      <c r="E59" s="20" t="s">
        <v>8</v>
      </c>
      <c r="F59" s="20" t="s">
        <v>19</v>
      </c>
      <c r="G59" s="22">
        <f t="shared" si="4"/>
        <v>504</v>
      </c>
      <c r="H59" s="22">
        <f t="shared" si="5"/>
        <v>96</v>
      </c>
      <c r="I59" s="22"/>
      <c r="J59" s="22">
        <v>600</v>
      </c>
      <c r="K59" s="18"/>
    </row>
    <row r="60" spans="1:21">
      <c r="A60" s="19">
        <v>45924</v>
      </c>
      <c r="B60" s="15" t="s">
        <v>173</v>
      </c>
      <c r="C60" s="80" t="s">
        <v>249</v>
      </c>
      <c r="D60" s="21"/>
      <c r="E60" s="20" t="s">
        <v>8</v>
      </c>
      <c r="F60" s="20" t="s">
        <v>19</v>
      </c>
      <c r="G60" s="89">
        <f t="shared" si="4"/>
        <v>336</v>
      </c>
      <c r="H60" s="89">
        <f t="shared" si="5"/>
        <v>64</v>
      </c>
      <c r="I60" s="22"/>
      <c r="J60" s="89">
        <v>400</v>
      </c>
      <c r="K60" s="18"/>
      <c r="N60" s="29"/>
      <c r="O60" s="29"/>
      <c r="P60" s="29"/>
      <c r="Q60" s="29"/>
      <c r="R60" s="29"/>
      <c r="S60" s="29"/>
      <c r="T60" s="29"/>
      <c r="U60" s="29"/>
    </row>
    <row r="61" spans="1:21">
      <c r="A61" s="19">
        <v>45925</v>
      </c>
      <c r="B61" s="20" t="s">
        <v>286</v>
      </c>
      <c r="C61" s="20" t="s">
        <v>99</v>
      </c>
      <c r="D61" s="21"/>
      <c r="E61" s="20" t="s">
        <v>8</v>
      </c>
      <c r="F61" s="20" t="s">
        <v>19</v>
      </c>
      <c r="G61" s="22">
        <f t="shared" si="4"/>
        <v>462</v>
      </c>
      <c r="H61" s="22">
        <f t="shared" si="5"/>
        <v>88</v>
      </c>
      <c r="I61" s="22" t="s">
        <v>303</v>
      </c>
      <c r="J61" s="22">
        <v>550</v>
      </c>
      <c r="K61" s="18"/>
    </row>
    <row r="62" spans="1:21">
      <c r="A62" s="19">
        <v>45925</v>
      </c>
      <c r="B62" s="20" t="s">
        <v>301</v>
      </c>
      <c r="C62" s="20" t="s">
        <v>99</v>
      </c>
      <c r="D62" s="21" t="s">
        <v>304</v>
      </c>
      <c r="E62" s="20" t="s">
        <v>84</v>
      </c>
      <c r="F62" s="20" t="s">
        <v>85</v>
      </c>
      <c r="G62" s="22">
        <f t="shared" si="4"/>
        <v>294</v>
      </c>
      <c r="H62" s="22">
        <f t="shared" si="5"/>
        <v>56</v>
      </c>
      <c r="I62" s="22"/>
      <c r="J62" s="22">
        <v>350</v>
      </c>
      <c r="K62" s="18"/>
    </row>
    <row r="63" spans="1:21">
      <c r="A63" s="19">
        <v>45925</v>
      </c>
      <c r="B63" s="20" t="s">
        <v>301</v>
      </c>
      <c r="C63" s="20" t="s">
        <v>98</v>
      </c>
      <c r="D63" s="21" t="s">
        <v>273</v>
      </c>
      <c r="E63" s="20" t="s">
        <v>84</v>
      </c>
      <c r="F63" s="20" t="s">
        <v>85</v>
      </c>
      <c r="G63" s="22">
        <f t="shared" si="4"/>
        <v>672</v>
      </c>
      <c r="H63" s="22">
        <f t="shared" si="5"/>
        <v>128</v>
      </c>
      <c r="I63" s="22"/>
      <c r="J63" s="22">
        <v>800</v>
      </c>
      <c r="K63" s="18"/>
    </row>
    <row r="64" spans="1:21">
      <c r="A64" s="19">
        <v>45925</v>
      </c>
      <c r="B64" s="15" t="s">
        <v>305</v>
      </c>
      <c r="C64" s="80" t="s">
        <v>88</v>
      </c>
      <c r="D64" s="21"/>
      <c r="E64" s="20" t="s">
        <v>84</v>
      </c>
      <c r="F64" s="20" t="s">
        <v>85</v>
      </c>
      <c r="G64" s="89">
        <f t="shared" si="4"/>
        <v>588</v>
      </c>
      <c r="H64" s="89">
        <f t="shared" si="5"/>
        <v>112</v>
      </c>
      <c r="I64" s="22"/>
      <c r="J64" s="89">
        <v>700</v>
      </c>
      <c r="K64" s="18"/>
      <c r="N64" s="29"/>
      <c r="O64" s="29"/>
      <c r="P64" s="29"/>
      <c r="Q64" s="29"/>
      <c r="R64" s="29"/>
      <c r="S64" s="29"/>
      <c r="T64" s="29"/>
      <c r="U64" s="29"/>
    </row>
    <row r="65" spans="1:11">
      <c r="A65" s="19">
        <v>45925</v>
      </c>
      <c r="B65" s="15" t="s">
        <v>305</v>
      </c>
      <c r="C65" s="20" t="s">
        <v>98</v>
      </c>
      <c r="D65" s="21"/>
      <c r="E65" s="20" t="s">
        <v>84</v>
      </c>
      <c r="F65" s="20" t="s">
        <v>85</v>
      </c>
      <c r="G65" s="22">
        <f t="shared" si="4"/>
        <v>672</v>
      </c>
      <c r="H65" s="22">
        <f t="shared" si="5"/>
        <v>128</v>
      </c>
      <c r="I65" s="22"/>
      <c r="J65" s="22">
        <v>800</v>
      </c>
      <c r="K65" s="18"/>
    </row>
    <row r="66" spans="1:11">
      <c r="A66" s="19">
        <v>45925</v>
      </c>
      <c r="B66" s="15" t="s">
        <v>232</v>
      </c>
      <c r="C66" s="20" t="s">
        <v>98</v>
      </c>
      <c r="D66" s="21"/>
      <c r="E66" s="20" t="s">
        <v>84</v>
      </c>
      <c r="F66" s="20" t="s">
        <v>85</v>
      </c>
      <c r="G66" s="22">
        <f t="shared" si="4"/>
        <v>504</v>
      </c>
      <c r="H66" s="22">
        <f t="shared" si="5"/>
        <v>96</v>
      </c>
      <c r="I66" s="22"/>
      <c r="J66" s="22">
        <v>600</v>
      </c>
      <c r="K66" s="18"/>
    </row>
    <row r="67" spans="1:11">
      <c r="A67" s="19">
        <v>45925</v>
      </c>
      <c r="B67" s="15" t="s">
        <v>306</v>
      </c>
      <c r="C67" s="20" t="s">
        <v>16</v>
      </c>
      <c r="D67" s="21"/>
      <c r="E67" s="20" t="s">
        <v>84</v>
      </c>
      <c r="F67" s="20" t="s">
        <v>85</v>
      </c>
      <c r="G67" s="22">
        <f t="shared" si="4"/>
        <v>504</v>
      </c>
      <c r="H67" s="22">
        <f t="shared" si="5"/>
        <v>96</v>
      </c>
      <c r="I67" s="22"/>
      <c r="J67" s="22">
        <v>600</v>
      </c>
      <c r="K67" s="18"/>
    </row>
    <row r="68" spans="1:11">
      <c r="A68" s="19">
        <v>45927</v>
      </c>
      <c r="B68" s="15" t="s">
        <v>309</v>
      </c>
      <c r="C68" s="20" t="s">
        <v>16</v>
      </c>
      <c r="D68" s="21"/>
      <c r="E68" s="20" t="s">
        <v>84</v>
      </c>
      <c r="F68" s="20" t="s">
        <v>85</v>
      </c>
      <c r="G68" s="22">
        <f t="shared" si="4"/>
        <v>504</v>
      </c>
      <c r="H68" s="22">
        <f t="shared" si="5"/>
        <v>96</v>
      </c>
      <c r="I68" s="22"/>
      <c r="J68" s="22">
        <v>600</v>
      </c>
      <c r="K68" s="18"/>
    </row>
    <row r="69" spans="1:11">
      <c r="A69" s="19">
        <v>45927</v>
      </c>
      <c r="B69" s="15" t="s">
        <v>310</v>
      </c>
      <c r="C69" s="20" t="s">
        <v>16</v>
      </c>
      <c r="D69" s="21"/>
      <c r="E69" s="20" t="s">
        <v>84</v>
      </c>
      <c r="F69" s="20" t="s">
        <v>85</v>
      </c>
      <c r="G69" s="22">
        <f t="shared" si="4"/>
        <v>504</v>
      </c>
      <c r="H69" s="22">
        <f t="shared" si="5"/>
        <v>96</v>
      </c>
      <c r="I69" s="22"/>
      <c r="J69" s="22">
        <v>600</v>
      </c>
      <c r="K69" s="18"/>
    </row>
    <row r="70" spans="1:11">
      <c r="A70" s="19">
        <v>45927</v>
      </c>
      <c r="B70" s="15" t="s">
        <v>309</v>
      </c>
      <c r="C70" s="20" t="s">
        <v>98</v>
      </c>
      <c r="D70" s="21" t="s">
        <v>311</v>
      </c>
      <c r="E70" s="20" t="s">
        <v>84</v>
      </c>
      <c r="F70" s="20" t="s">
        <v>85</v>
      </c>
      <c r="G70" s="22">
        <f t="shared" si="4"/>
        <v>504</v>
      </c>
      <c r="H70" s="22">
        <f t="shared" si="5"/>
        <v>96</v>
      </c>
      <c r="I70" s="22"/>
      <c r="J70" s="22">
        <v>600</v>
      </c>
      <c r="K70" s="18"/>
    </row>
    <row r="71" spans="1:11">
      <c r="A71" s="19">
        <v>45927</v>
      </c>
      <c r="B71" s="15" t="s">
        <v>309</v>
      </c>
      <c r="C71" s="20" t="s">
        <v>98</v>
      </c>
      <c r="D71" s="21" t="s">
        <v>312</v>
      </c>
      <c r="E71" s="20" t="s">
        <v>84</v>
      </c>
      <c r="F71" s="20" t="s">
        <v>85</v>
      </c>
      <c r="G71" s="22">
        <f t="shared" si="4"/>
        <v>462</v>
      </c>
      <c r="H71" s="22">
        <f t="shared" si="5"/>
        <v>88</v>
      </c>
      <c r="I71" s="22"/>
      <c r="J71" s="22">
        <v>550</v>
      </c>
      <c r="K71" s="18"/>
    </row>
  </sheetData>
  <mergeCells count="4">
    <mergeCell ref="D4:E4"/>
    <mergeCell ref="A6:B6"/>
    <mergeCell ref="A14:K14"/>
    <mergeCell ref="N14:U14"/>
  </mergeCells>
  <dataValidations count="4">
    <dataValidation type="list" allowBlank="1" showInputMessage="1" showErrorMessage="1" sqref="C16:C53 C59 C61:C63 C65:C71" xr:uid="{A3F529A6-B45F-8C44-8514-BB6E4D9B7032}">
      <formula1>"Limpieza Profunda, Anti-acné, PRODUCTO, Depilación Láser, Facial despigmentante, Lifting facial, Dermapen, Otro"</formula1>
    </dataValidation>
    <dataValidation type="list" allowBlank="1" showInputMessage="1" showErrorMessage="1" sqref="F16:F55 Q16:Q23 Q27:Q39 Q50:Q54 F57:F71" xr:uid="{8765AE8E-8D21-AE49-91C4-48E75CB42697}">
      <formula1>"BBVA Alo, Caja"</formula1>
    </dataValidation>
    <dataValidation type="list" allowBlank="1" showInputMessage="1" showErrorMessage="1" sqref="E16:E55 P16:P23 P27:P39 P50:P54 E57:E71" xr:uid="{44DBBD70-F72C-E94D-907F-4A0127FAB35B}">
      <formula1>"Efectivo,Transferencia,Tarjeta"</formula1>
    </dataValidation>
    <dataValidation type="list" allowBlank="1" showInputMessage="1" showErrorMessage="1" sqref="E15 P15" xr:uid="{5B00FC54-53D8-024E-9F26-FEB8B9DAD568}">
      <formula1>"Efectivo, Transferencia, Tarjeta"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EA81B-1A0D-9F48-A46E-307B1D3D041C}">
  <dimension ref="A1:V76"/>
  <sheetViews>
    <sheetView topLeftCell="A32" zoomScale="125" zoomScaleNormal="140" workbookViewId="0">
      <selection activeCell="A46" sqref="A46"/>
    </sheetView>
  </sheetViews>
  <sheetFormatPr baseColWidth="10" defaultRowHeight="15"/>
  <cols>
    <col min="1" max="1" width="19.6640625" customWidth="1"/>
    <col min="2" max="2" width="22" customWidth="1"/>
    <col min="3" max="3" width="18.6640625" bestFit="1" customWidth="1"/>
    <col min="4" max="4" width="22.1640625" style="8" customWidth="1"/>
    <col min="5" max="5" width="19.1640625" customWidth="1"/>
    <col min="6" max="6" width="21" customWidth="1"/>
    <col min="7" max="7" width="12.1640625" customWidth="1"/>
    <col min="9" max="9" width="14.33203125" customWidth="1"/>
    <col min="11" max="11" width="15.1640625" customWidth="1"/>
    <col min="12" max="13" width="3.1640625" customWidth="1"/>
    <col min="14" max="14" width="14.33203125" customWidth="1"/>
    <col min="15" max="15" width="19.1640625" customWidth="1"/>
    <col min="16" max="16" width="15.83203125" bestFit="1" customWidth="1"/>
    <col min="17" max="17" width="17.6640625" bestFit="1" customWidth="1"/>
    <col min="18" max="18" width="10.5" bestFit="1" customWidth="1"/>
  </cols>
  <sheetData>
    <row r="1" spans="1:21" ht="54" customHeight="1">
      <c r="A1" s="10"/>
      <c r="B1" s="10"/>
    </row>
    <row r="2" spans="1:21" ht="42" customHeight="1">
      <c r="A2" s="10"/>
      <c r="B2" s="10"/>
      <c r="E2" s="9"/>
    </row>
    <row r="3" spans="1:21">
      <c r="A3" s="6"/>
      <c r="B3" s="7"/>
    </row>
    <row r="4" spans="1:21" ht="42">
      <c r="A4" s="23" t="s">
        <v>75</v>
      </c>
      <c r="B4" s="24" t="s">
        <v>24</v>
      </c>
      <c r="D4" s="91" t="s">
        <v>86</v>
      </c>
      <c r="E4" s="91"/>
    </row>
    <row r="5" spans="1:21" ht="16">
      <c r="D5" s="26" t="s">
        <v>87</v>
      </c>
      <c r="E5" s="27">
        <f>SUMIF(C$15:C$196, "Limpieza profunda", J$15:J$1048576)</f>
        <v>9480</v>
      </c>
    </row>
    <row r="6" spans="1:21" ht="18">
      <c r="A6" s="92" t="s">
        <v>76</v>
      </c>
      <c r="B6" s="92"/>
      <c r="D6" s="26" t="s">
        <v>88</v>
      </c>
      <c r="E6" s="27">
        <f>SUMIF(C$15:C$196, "Anti-acné", J$15:J$1048576)</f>
        <v>3350</v>
      </c>
    </row>
    <row r="7" spans="1:21" ht="18">
      <c r="A7" s="25" t="s">
        <v>82</v>
      </c>
      <c r="B7" s="33">
        <f>SUM(J16:J97)</f>
        <v>27270</v>
      </c>
      <c r="D7" s="26" t="s">
        <v>90</v>
      </c>
      <c r="E7" s="27">
        <f>SUMIF(C$15:C$196, "Depilación Láser", J$15:J$1048576)</f>
        <v>4390</v>
      </c>
    </row>
    <row r="8" spans="1:21" ht="18">
      <c r="A8" s="25" t="s">
        <v>83</v>
      </c>
      <c r="B8" s="33">
        <f>SUM(T16:T25)</f>
        <v>19640</v>
      </c>
      <c r="C8" s="77"/>
      <c r="D8" s="26" t="s">
        <v>91</v>
      </c>
      <c r="E8" s="27">
        <f>SUMIF(C$15:C$196, "Facial despigmentante", J$15:J$1048576)</f>
        <v>0</v>
      </c>
    </row>
    <row r="9" spans="1:21" ht="16">
      <c r="D9" s="26" t="s">
        <v>58</v>
      </c>
      <c r="E9" s="27">
        <f>SUMIF(C$15:C$196, "Dermapen", J$15:J$1048576)</f>
        <v>1500</v>
      </c>
    </row>
    <row r="10" spans="1:21" ht="16">
      <c r="B10" s="77">
        <f>B7-B8</f>
        <v>7630</v>
      </c>
      <c r="D10" s="26" t="s">
        <v>92</v>
      </c>
      <c r="E10" s="27">
        <f>SUMIF(C$15:C$196, "Lifting facial", J$15:J$1048576)</f>
        <v>2800</v>
      </c>
    </row>
    <row r="11" spans="1:21" ht="16">
      <c r="D11" s="26" t="s">
        <v>89</v>
      </c>
      <c r="E11" s="27">
        <f>SUMIF(C$15:C$196, "PRODUCTO", J$15:J$1048576)</f>
        <v>2400</v>
      </c>
    </row>
    <row r="12" spans="1:21" ht="16">
      <c r="D12" s="26" t="s">
        <v>98</v>
      </c>
      <c r="E12" s="27">
        <f>SUMIF(C$15:C$196, "Otro", J$15:J$1048576)</f>
        <v>3350</v>
      </c>
    </row>
    <row r="13" spans="1:21">
      <c r="E13" s="2"/>
    </row>
    <row r="14" spans="1:21" ht="32" customHeight="1">
      <c r="A14" s="93" t="s">
        <v>94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N14" s="94" t="s">
        <v>96</v>
      </c>
      <c r="O14" s="94"/>
      <c r="P14" s="94"/>
      <c r="Q14" s="94"/>
      <c r="R14" s="94"/>
      <c r="S14" s="94"/>
      <c r="T14" s="94"/>
      <c r="U14" s="94"/>
    </row>
    <row r="15" spans="1:21" ht="16">
      <c r="A15" s="12" t="s">
        <v>81</v>
      </c>
      <c r="B15" s="12" t="s">
        <v>78</v>
      </c>
      <c r="C15" s="12" t="s">
        <v>97</v>
      </c>
      <c r="D15" s="13" t="s">
        <v>77</v>
      </c>
      <c r="E15" s="12" t="s">
        <v>8</v>
      </c>
      <c r="F15" s="12" t="s">
        <v>80</v>
      </c>
      <c r="G15" s="12" t="s">
        <v>2</v>
      </c>
      <c r="H15" s="12" t="s">
        <v>1</v>
      </c>
      <c r="I15" s="12" t="s">
        <v>3</v>
      </c>
      <c r="J15" s="12" t="s">
        <v>4</v>
      </c>
      <c r="K15" s="12" t="s">
        <v>95</v>
      </c>
      <c r="N15" s="28" t="s">
        <v>81</v>
      </c>
      <c r="O15" s="28" t="s">
        <v>5</v>
      </c>
      <c r="P15" s="28" t="s">
        <v>79</v>
      </c>
      <c r="Q15" s="28" t="s">
        <v>80</v>
      </c>
      <c r="R15" s="28" t="s">
        <v>2</v>
      </c>
      <c r="S15" s="28" t="s">
        <v>1</v>
      </c>
      <c r="T15" s="28" t="s">
        <v>4</v>
      </c>
      <c r="U15" s="28" t="s">
        <v>95</v>
      </c>
    </row>
    <row r="16" spans="1:21">
      <c r="A16" s="73">
        <v>45871</v>
      </c>
      <c r="B16" s="20" t="s">
        <v>169</v>
      </c>
      <c r="C16" s="20" t="s">
        <v>99</v>
      </c>
      <c r="D16" s="21"/>
      <c r="E16" s="20" t="s">
        <v>8</v>
      </c>
      <c r="F16" s="20" t="s">
        <v>19</v>
      </c>
      <c r="G16" s="17">
        <f t="shared" ref="G16:G52" si="0">J16-H16</f>
        <v>378</v>
      </c>
      <c r="H16" s="17">
        <f t="shared" ref="H16:H52" si="1">J16*0.16</f>
        <v>72</v>
      </c>
      <c r="I16" s="17">
        <v>0</v>
      </c>
      <c r="J16" s="17">
        <v>450</v>
      </c>
      <c r="K16" s="18" t="s">
        <v>195</v>
      </c>
      <c r="N16" s="19">
        <v>45875</v>
      </c>
      <c r="O16" s="15" t="s">
        <v>179</v>
      </c>
      <c r="P16" s="15" t="s">
        <v>8</v>
      </c>
      <c r="Q16" s="15" t="s">
        <v>19</v>
      </c>
      <c r="R16" s="17">
        <f>T16-OS16</f>
        <v>200</v>
      </c>
      <c r="S16" s="17">
        <f t="shared" ref="S16:S22" si="2">T16*0.16</f>
        <v>32</v>
      </c>
      <c r="T16" s="17">
        <v>200</v>
      </c>
      <c r="U16" s="18" t="s">
        <v>180</v>
      </c>
    </row>
    <row r="17" spans="1:22" ht="31" customHeight="1">
      <c r="A17" s="73">
        <v>45871</v>
      </c>
      <c r="B17" s="20" t="s">
        <v>263</v>
      </c>
      <c r="C17" s="20" t="s">
        <v>16</v>
      </c>
      <c r="D17" s="21"/>
      <c r="E17" s="20" t="s">
        <v>84</v>
      </c>
      <c r="F17" s="20" t="s">
        <v>85</v>
      </c>
      <c r="G17" s="22">
        <f>J17-H17</f>
        <v>420</v>
      </c>
      <c r="H17" s="22">
        <f t="shared" si="1"/>
        <v>80</v>
      </c>
      <c r="I17" s="22">
        <v>0</v>
      </c>
      <c r="J17" s="22">
        <v>500</v>
      </c>
      <c r="K17" s="63"/>
      <c r="N17" s="19">
        <v>45839</v>
      </c>
      <c r="O17" s="20" t="s">
        <v>10</v>
      </c>
      <c r="P17" s="20" t="s">
        <v>8</v>
      </c>
      <c r="Q17" s="20" t="s">
        <v>19</v>
      </c>
      <c r="R17" s="22">
        <f t="shared" ref="R17:R22" si="3">T17-S17</f>
        <v>2100</v>
      </c>
      <c r="S17" s="22">
        <f t="shared" si="2"/>
        <v>400</v>
      </c>
      <c r="T17" s="22">
        <v>2500</v>
      </c>
      <c r="U17" s="18" t="s">
        <v>191</v>
      </c>
    </row>
    <row r="18" spans="1:22" ht="30">
      <c r="A18" s="73">
        <v>45871</v>
      </c>
      <c r="B18" s="15" t="s">
        <v>264</v>
      </c>
      <c r="C18" s="15" t="s">
        <v>98</v>
      </c>
      <c r="D18" s="16"/>
      <c r="E18" s="15" t="s">
        <v>84</v>
      </c>
      <c r="F18" s="15" t="s">
        <v>85</v>
      </c>
      <c r="G18" s="17">
        <f t="shared" si="0"/>
        <v>84</v>
      </c>
      <c r="H18" s="17">
        <f t="shared" si="1"/>
        <v>16</v>
      </c>
      <c r="I18" s="17">
        <v>0</v>
      </c>
      <c r="J18" s="17">
        <v>100</v>
      </c>
      <c r="K18" s="63" t="s">
        <v>172</v>
      </c>
      <c r="N18" s="14">
        <v>45840</v>
      </c>
      <c r="O18" s="15" t="s">
        <v>196</v>
      </c>
      <c r="P18" s="15" t="s">
        <v>84</v>
      </c>
      <c r="Q18" s="15" t="s">
        <v>19</v>
      </c>
      <c r="R18" s="17">
        <f t="shared" si="3"/>
        <v>6720</v>
      </c>
      <c r="S18" s="17">
        <f t="shared" si="2"/>
        <v>1280</v>
      </c>
      <c r="T18" s="17">
        <v>8000</v>
      </c>
      <c r="U18" s="18" t="s">
        <v>213</v>
      </c>
    </row>
    <row r="19" spans="1:22">
      <c r="A19" s="73">
        <v>45875</v>
      </c>
      <c r="B19" s="20" t="s">
        <v>173</v>
      </c>
      <c r="C19" s="20" t="s">
        <v>88</v>
      </c>
      <c r="D19" s="21"/>
      <c r="E19" s="20" t="s">
        <v>8</v>
      </c>
      <c r="F19" s="20" t="s">
        <v>19</v>
      </c>
      <c r="G19" s="22">
        <f t="shared" si="0"/>
        <v>588</v>
      </c>
      <c r="H19" s="22">
        <f t="shared" si="1"/>
        <v>112</v>
      </c>
      <c r="I19" s="22">
        <v>0</v>
      </c>
      <c r="J19" s="22">
        <v>700</v>
      </c>
      <c r="K19" s="18" t="s">
        <v>195</v>
      </c>
      <c r="N19" s="14">
        <v>45850</v>
      </c>
      <c r="O19" s="15" t="s">
        <v>236</v>
      </c>
      <c r="P19" s="15" t="s">
        <v>8</v>
      </c>
      <c r="Q19" s="15" t="s">
        <v>19</v>
      </c>
      <c r="R19" s="17">
        <f t="shared" si="3"/>
        <v>1092</v>
      </c>
      <c r="S19" s="17">
        <f t="shared" si="2"/>
        <v>208</v>
      </c>
      <c r="T19" s="17">
        <v>1300</v>
      </c>
      <c r="U19" s="18" t="s">
        <v>180</v>
      </c>
    </row>
    <row r="20" spans="1:22">
      <c r="A20" s="73">
        <v>45875</v>
      </c>
      <c r="B20" s="15" t="s">
        <v>178</v>
      </c>
      <c r="C20" s="15" t="s">
        <v>16</v>
      </c>
      <c r="D20" s="16"/>
      <c r="E20" s="15" t="s">
        <v>8</v>
      </c>
      <c r="F20" s="15" t="s">
        <v>19</v>
      </c>
      <c r="G20" s="17">
        <f>J20-H20</f>
        <v>294</v>
      </c>
      <c r="H20" s="17">
        <f t="shared" si="1"/>
        <v>56</v>
      </c>
      <c r="I20" s="17">
        <v>250</v>
      </c>
      <c r="J20" s="17">
        <v>350</v>
      </c>
      <c r="K20" s="18"/>
      <c r="N20" s="19">
        <v>45851</v>
      </c>
      <c r="O20" s="20" t="s">
        <v>236</v>
      </c>
      <c r="P20" s="20" t="s">
        <v>84</v>
      </c>
      <c r="Q20" s="20" t="s">
        <v>85</v>
      </c>
      <c r="R20" s="22">
        <f t="shared" si="3"/>
        <v>420</v>
      </c>
      <c r="S20" s="22">
        <f t="shared" si="2"/>
        <v>80</v>
      </c>
      <c r="T20" s="22">
        <v>500</v>
      </c>
      <c r="U20" s="18" t="s">
        <v>180</v>
      </c>
    </row>
    <row r="21" spans="1:22">
      <c r="A21" s="73">
        <v>45875</v>
      </c>
      <c r="B21" s="20" t="s">
        <v>181</v>
      </c>
      <c r="C21" s="20" t="s">
        <v>88</v>
      </c>
      <c r="D21" s="21"/>
      <c r="E21" s="20" t="s">
        <v>8</v>
      </c>
      <c r="F21" s="20" t="s">
        <v>19</v>
      </c>
      <c r="G21" s="22">
        <f t="shared" si="0"/>
        <v>588</v>
      </c>
      <c r="H21" s="22">
        <f t="shared" si="1"/>
        <v>112</v>
      </c>
      <c r="I21" s="22">
        <v>0</v>
      </c>
      <c r="J21" s="22">
        <v>700</v>
      </c>
      <c r="K21" s="18"/>
      <c r="N21" s="14">
        <v>45852</v>
      </c>
      <c r="O21" s="15" t="s">
        <v>71</v>
      </c>
      <c r="P21" s="15" t="s">
        <v>84</v>
      </c>
      <c r="Q21" s="15" t="s">
        <v>85</v>
      </c>
      <c r="R21" s="17">
        <f t="shared" si="3"/>
        <v>294</v>
      </c>
      <c r="S21" s="17">
        <f t="shared" si="2"/>
        <v>56</v>
      </c>
      <c r="T21" s="17">
        <v>350</v>
      </c>
      <c r="U21" s="18" t="s">
        <v>197</v>
      </c>
    </row>
    <row r="22" spans="1:22" ht="30">
      <c r="A22" s="73">
        <v>45875</v>
      </c>
      <c r="B22" s="15" t="s">
        <v>181</v>
      </c>
      <c r="C22" s="15" t="s">
        <v>93</v>
      </c>
      <c r="D22" s="16"/>
      <c r="E22" s="15" t="s">
        <v>8</v>
      </c>
      <c r="F22" s="15" t="s">
        <v>19</v>
      </c>
      <c r="G22" s="17">
        <f t="shared" si="0"/>
        <v>420</v>
      </c>
      <c r="H22" s="17">
        <f t="shared" si="1"/>
        <v>80</v>
      </c>
      <c r="I22" s="17">
        <v>0</v>
      </c>
      <c r="J22" s="17">
        <v>500</v>
      </c>
      <c r="K22" s="63" t="s">
        <v>184</v>
      </c>
      <c r="N22" s="19">
        <v>45853</v>
      </c>
      <c r="O22" s="20" t="s">
        <v>217</v>
      </c>
      <c r="P22" s="20" t="s">
        <v>8</v>
      </c>
      <c r="Q22" s="20" t="s">
        <v>19</v>
      </c>
      <c r="R22" s="22">
        <f t="shared" si="3"/>
        <v>126</v>
      </c>
      <c r="S22" s="22">
        <f t="shared" si="2"/>
        <v>24</v>
      </c>
      <c r="T22" s="22">
        <v>150</v>
      </c>
      <c r="U22" s="18" t="s">
        <v>218</v>
      </c>
    </row>
    <row r="23" spans="1:22" ht="30">
      <c r="A23" s="73">
        <v>45875</v>
      </c>
      <c r="B23" s="20" t="s">
        <v>182</v>
      </c>
      <c r="C23" s="20" t="s">
        <v>93</v>
      </c>
      <c r="D23" s="21"/>
      <c r="E23" s="20" t="s">
        <v>84</v>
      </c>
      <c r="F23" s="20" t="s">
        <v>85</v>
      </c>
      <c r="G23" s="22">
        <f t="shared" si="0"/>
        <v>420</v>
      </c>
      <c r="H23" s="22">
        <f t="shared" si="1"/>
        <v>80</v>
      </c>
      <c r="I23" s="22">
        <v>0</v>
      </c>
      <c r="J23" s="22">
        <v>500</v>
      </c>
      <c r="K23" s="66" t="s">
        <v>183</v>
      </c>
      <c r="N23" s="19">
        <v>45869</v>
      </c>
      <c r="O23" s="20" t="s">
        <v>241</v>
      </c>
      <c r="P23" s="20" t="s">
        <v>8</v>
      </c>
      <c r="Q23" s="20" t="s">
        <v>19</v>
      </c>
      <c r="R23" s="22">
        <f>T23-S23</f>
        <v>1680</v>
      </c>
      <c r="S23" s="22">
        <f>T23*0.16</f>
        <v>320</v>
      </c>
      <c r="T23" s="22">
        <v>2000</v>
      </c>
      <c r="U23" s="18" t="s">
        <v>243</v>
      </c>
    </row>
    <row r="24" spans="1:22">
      <c r="A24" s="67">
        <v>45876</v>
      </c>
      <c r="B24" s="15" t="s">
        <v>185</v>
      </c>
      <c r="C24" s="15" t="s">
        <v>92</v>
      </c>
      <c r="D24" s="16"/>
      <c r="E24" s="15" t="s">
        <v>8</v>
      </c>
      <c r="F24" s="15" t="s">
        <v>19</v>
      </c>
      <c r="G24" s="17">
        <f t="shared" si="0"/>
        <v>672</v>
      </c>
      <c r="H24" s="17">
        <f t="shared" si="1"/>
        <v>128</v>
      </c>
      <c r="I24" s="17">
        <v>0</v>
      </c>
      <c r="J24" s="17">
        <v>800</v>
      </c>
      <c r="K24" s="18"/>
      <c r="N24" s="19">
        <v>45869</v>
      </c>
      <c r="O24" s="20" t="s">
        <v>242</v>
      </c>
      <c r="P24" s="20" t="s">
        <v>8</v>
      </c>
      <c r="Q24" s="20" t="s">
        <v>19</v>
      </c>
      <c r="R24" s="22">
        <f>T24-S24</f>
        <v>3360</v>
      </c>
      <c r="S24" s="22">
        <f>T24*0.16</f>
        <v>640</v>
      </c>
      <c r="T24" s="22">
        <v>4000</v>
      </c>
      <c r="U24" s="18" t="s">
        <v>180</v>
      </c>
    </row>
    <row r="25" spans="1:22">
      <c r="A25" s="67">
        <v>45876</v>
      </c>
      <c r="B25" s="20" t="s">
        <v>185</v>
      </c>
      <c r="C25" s="20" t="s">
        <v>99</v>
      </c>
      <c r="D25" s="21"/>
      <c r="E25" s="20" t="s">
        <v>8</v>
      </c>
      <c r="F25" s="20" t="s">
        <v>19</v>
      </c>
      <c r="G25" s="22">
        <f t="shared" si="0"/>
        <v>420</v>
      </c>
      <c r="H25" s="22">
        <f t="shared" si="1"/>
        <v>80</v>
      </c>
      <c r="I25" s="22">
        <v>0</v>
      </c>
      <c r="J25" s="22">
        <v>500</v>
      </c>
      <c r="K25" s="18"/>
      <c r="N25" s="19">
        <v>45869</v>
      </c>
      <c r="O25" s="20" t="s">
        <v>252</v>
      </c>
      <c r="P25" s="20" t="s">
        <v>8</v>
      </c>
      <c r="Q25" s="20" t="s">
        <v>19</v>
      </c>
      <c r="R25" s="22">
        <f>T25-S25</f>
        <v>537.6</v>
      </c>
      <c r="S25" s="22">
        <f>T25*0.16</f>
        <v>102.4</v>
      </c>
      <c r="T25" s="22">
        <v>640</v>
      </c>
      <c r="U25" s="18" t="s">
        <v>180</v>
      </c>
      <c r="V25" s="29"/>
    </row>
    <row r="26" spans="1:22">
      <c r="A26" s="67">
        <v>45511</v>
      </c>
      <c r="B26" s="15" t="s">
        <v>185</v>
      </c>
      <c r="C26" s="15" t="s">
        <v>93</v>
      </c>
      <c r="D26" s="16"/>
      <c r="E26" s="15" t="s">
        <v>8</v>
      </c>
      <c r="F26" s="15" t="s">
        <v>19</v>
      </c>
      <c r="G26" s="17">
        <f t="shared" si="0"/>
        <v>420</v>
      </c>
      <c r="H26" s="17">
        <f t="shared" si="1"/>
        <v>80</v>
      </c>
      <c r="I26" s="17">
        <v>0</v>
      </c>
      <c r="J26" s="17">
        <v>500</v>
      </c>
      <c r="K26" s="18"/>
      <c r="N26" s="29"/>
      <c r="O26" s="29"/>
      <c r="P26" s="29"/>
      <c r="Q26" s="29"/>
      <c r="R26" s="29"/>
      <c r="S26" s="29"/>
      <c r="T26" s="29"/>
      <c r="U26" s="29"/>
      <c r="V26" s="29"/>
    </row>
    <row r="27" spans="1:22">
      <c r="A27" s="67">
        <v>45511</v>
      </c>
      <c r="B27" s="20" t="s">
        <v>185</v>
      </c>
      <c r="C27" s="20" t="s">
        <v>93</v>
      </c>
      <c r="D27" s="21"/>
      <c r="E27" s="20" t="s">
        <v>8</v>
      </c>
      <c r="F27" s="20" t="s">
        <v>19</v>
      </c>
      <c r="G27" s="22">
        <f t="shared" si="0"/>
        <v>168</v>
      </c>
      <c r="H27" s="22">
        <f t="shared" si="1"/>
        <v>32</v>
      </c>
      <c r="I27" s="22">
        <v>0</v>
      </c>
      <c r="J27" s="22">
        <v>200</v>
      </c>
      <c r="K27" s="18"/>
      <c r="N27" s="30"/>
      <c r="O27" s="31"/>
      <c r="P27" s="31"/>
      <c r="Q27" s="31"/>
      <c r="R27" s="32"/>
      <c r="S27" s="32"/>
      <c r="T27" s="32"/>
      <c r="U27" s="31"/>
      <c r="V27" s="29"/>
    </row>
    <row r="28" spans="1:22" ht="30">
      <c r="A28" s="67">
        <v>45877</v>
      </c>
      <c r="B28" s="68" t="s">
        <v>186</v>
      </c>
      <c r="C28" s="68" t="s">
        <v>92</v>
      </c>
      <c r="D28" s="69"/>
      <c r="E28" s="68" t="s">
        <v>84</v>
      </c>
      <c r="F28" s="70" t="s">
        <v>85</v>
      </c>
      <c r="G28" s="71">
        <f t="shared" si="0"/>
        <v>840</v>
      </c>
      <c r="H28" s="71">
        <f t="shared" si="1"/>
        <v>160</v>
      </c>
      <c r="I28" s="71"/>
      <c r="J28" s="71">
        <v>1000</v>
      </c>
      <c r="K28" s="54" t="s">
        <v>187</v>
      </c>
      <c r="N28" s="30"/>
      <c r="O28" s="31"/>
      <c r="P28" s="31"/>
      <c r="Q28" s="31"/>
      <c r="R28" s="32"/>
      <c r="S28" s="32"/>
      <c r="T28" s="32"/>
      <c r="U28" s="31"/>
      <c r="V28" s="29"/>
    </row>
    <row r="29" spans="1:22" ht="45">
      <c r="A29" s="67">
        <v>45877</v>
      </c>
      <c r="B29" s="20" t="s">
        <v>188</v>
      </c>
      <c r="C29" s="20" t="s">
        <v>16</v>
      </c>
      <c r="D29" s="21"/>
      <c r="E29" s="20" t="s">
        <v>189</v>
      </c>
      <c r="F29" s="20" t="s">
        <v>85</v>
      </c>
      <c r="G29" s="22">
        <f t="shared" si="0"/>
        <v>403.2</v>
      </c>
      <c r="H29" s="22">
        <f t="shared" si="1"/>
        <v>76.8</v>
      </c>
      <c r="I29" s="22">
        <v>110</v>
      </c>
      <c r="J29" s="22">
        <v>480</v>
      </c>
      <c r="K29" s="63" t="s">
        <v>194</v>
      </c>
      <c r="N29" s="30"/>
      <c r="O29" s="31"/>
      <c r="P29" s="31"/>
      <c r="Q29" s="31"/>
      <c r="R29" s="32"/>
      <c r="S29" s="32"/>
      <c r="T29" s="32"/>
      <c r="U29" s="31"/>
      <c r="V29" s="29"/>
    </row>
    <row r="30" spans="1:22">
      <c r="A30" s="67">
        <v>45877</v>
      </c>
      <c r="B30" s="15" t="s">
        <v>190</v>
      </c>
      <c r="C30" s="15" t="s">
        <v>16</v>
      </c>
      <c r="D30" s="16"/>
      <c r="E30" s="15" t="s">
        <v>84</v>
      </c>
      <c r="F30" s="20" t="s">
        <v>85</v>
      </c>
      <c r="G30" s="17">
        <f t="shared" si="0"/>
        <v>504</v>
      </c>
      <c r="H30" s="17">
        <f t="shared" si="1"/>
        <v>96</v>
      </c>
      <c r="I30" s="17"/>
      <c r="J30" s="17">
        <v>600</v>
      </c>
      <c r="K30" s="18" t="s">
        <v>195</v>
      </c>
      <c r="N30" s="30"/>
      <c r="O30" s="31"/>
      <c r="P30" s="31"/>
      <c r="Q30" s="31"/>
      <c r="R30" s="32"/>
      <c r="S30" s="32"/>
      <c r="T30" s="32"/>
      <c r="U30" s="31"/>
      <c r="V30" s="29"/>
    </row>
    <row r="31" spans="1:22">
      <c r="A31" s="67">
        <v>45877</v>
      </c>
      <c r="B31" s="20" t="s">
        <v>190</v>
      </c>
      <c r="C31" s="20" t="s">
        <v>16</v>
      </c>
      <c r="D31" s="21"/>
      <c r="E31" s="20" t="s">
        <v>84</v>
      </c>
      <c r="F31" s="20" t="s">
        <v>85</v>
      </c>
      <c r="G31" s="22">
        <f t="shared" si="0"/>
        <v>504</v>
      </c>
      <c r="H31" s="22">
        <f t="shared" si="1"/>
        <v>96</v>
      </c>
      <c r="I31" s="22"/>
      <c r="J31" s="22">
        <v>600</v>
      </c>
      <c r="K31" s="18" t="s">
        <v>195</v>
      </c>
      <c r="N31" s="30"/>
      <c r="O31" s="31"/>
      <c r="P31" s="31"/>
      <c r="Q31" s="31"/>
      <c r="R31" s="32"/>
      <c r="S31" s="32"/>
      <c r="T31" s="32"/>
      <c r="U31" s="31"/>
      <c r="V31" s="29"/>
    </row>
    <row r="32" spans="1:22" ht="30">
      <c r="A32" s="67">
        <v>45878</v>
      </c>
      <c r="B32" s="15" t="s">
        <v>192</v>
      </c>
      <c r="C32" s="15" t="s">
        <v>99</v>
      </c>
      <c r="D32" s="16"/>
      <c r="E32" s="15" t="s">
        <v>84</v>
      </c>
      <c r="F32" s="15" t="s">
        <v>85</v>
      </c>
      <c r="G32" s="17">
        <f t="shared" si="0"/>
        <v>478.8</v>
      </c>
      <c r="H32" s="17">
        <f t="shared" si="1"/>
        <v>91.2</v>
      </c>
      <c r="I32" s="17"/>
      <c r="J32" s="17">
        <v>570</v>
      </c>
      <c r="K32" s="63" t="s">
        <v>198</v>
      </c>
      <c r="N32" s="30"/>
      <c r="O32" s="31"/>
      <c r="P32" s="31"/>
      <c r="Q32" s="31"/>
      <c r="R32" s="32"/>
      <c r="S32" s="32"/>
      <c r="T32" s="32"/>
      <c r="U32" s="31"/>
      <c r="V32" s="29"/>
    </row>
    <row r="33" spans="1:22">
      <c r="A33" s="67">
        <v>45878</v>
      </c>
      <c r="B33" s="20" t="s">
        <v>193</v>
      </c>
      <c r="C33" s="20" t="s">
        <v>58</v>
      </c>
      <c r="D33" s="21"/>
      <c r="E33" s="20" t="s">
        <v>8</v>
      </c>
      <c r="F33" s="20" t="s">
        <v>19</v>
      </c>
      <c r="G33" s="22">
        <f t="shared" si="0"/>
        <v>588</v>
      </c>
      <c r="H33" s="22">
        <f t="shared" si="1"/>
        <v>112</v>
      </c>
      <c r="I33" s="22"/>
      <c r="J33" s="22">
        <v>700</v>
      </c>
      <c r="K33" s="18" t="s">
        <v>199</v>
      </c>
      <c r="N33" s="30"/>
      <c r="O33" s="31"/>
      <c r="P33" s="31"/>
      <c r="Q33" s="31"/>
      <c r="R33" s="32"/>
      <c r="S33" s="32"/>
      <c r="T33" s="32"/>
      <c r="U33" s="31"/>
      <c r="V33" s="29"/>
    </row>
    <row r="34" spans="1:22">
      <c r="A34" s="67">
        <v>45878</v>
      </c>
      <c r="B34" s="15" t="s">
        <v>68</v>
      </c>
      <c r="C34" s="15" t="s">
        <v>16</v>
      </c>
      <c r="D34" s="16"/>
      <c r="E34" s="15" t="s">
        <v>84</v>
      </c>
      <c r="F34" s="15" t="s">
        <v>85</v>
      </c>
      <c r="G34" s="17">
        <f t="shared" si="0"/>
        <v>504</v>
      </c>
      <c r="H34" s="17">
        <f t="shared" si="1"/>
        <v>96</v>
      </c>
      <c r="I34" s="17"/>
      <c r="J34" s="17">
        <v>600</v>
      </c>
      <c r="K34" s="18"/>
      <c r="N34" s="30"/>
      <c r="O34" s="31"/>
      <c r="P34" s="31"/>
      <c r="Q34" s="31"/>
      <c r="R34" s="32"/>
      <c r="S34" s="32"/>
      <c r="T34" s="32"/>
      <c r="U34" s="31"/>
      <c r="V34" s="29"/>
    </row>
    <row r="35" spans="1:22">
      <c r="A35" s="73">
        <v>45880</v>
      </c>
      <c r="B35" s="20" t="s">
        <v>200</v>
      </c>
      <c r="C35" s="20" t="s">
        <v>16</v>
      </c>
      <c r="D35" s="21"/>
      <c r="E35" s="20" t="s">
        <v>84</v>
      </c>
      <c r="F35" s="20" t="s">
        <v>85</v>
      </c>
      <c r="G35" s="22">
        <f t="shared" si="0"/>
        <v>294</v>
      </c>
      <c r="H35" s="22">
        <f t="shared" si="1"/>
        <v>56</v>
      </c>
      <c r="I35" s="22">
        <v>250</v>
      </c>
      <c r="J35" s="22">
        <v>350</v>
      </c>
      <c r="K35" s="18"/>
      <c r="N35" s="30"/>
      <c r="O35" s="31"/>
      <c r="P35" s="31"/>
      <c r="Q35" s="31"/>
      <c r="R35" s="32"/>
      <c r="S35" s="32"/>
      <c r="T35" s="32"/>
      <c r="U35" s="31"/>
      <c r="V35" s="29"/>
    </row>
    <row r="36" spans="1:22">
      <c r="A36" s="73">
        <v>45880</v>
      </c>
      <c r="B36" s="15" t="s">
        <v>201</v>
      </c>
      <c r="C36" s="15" t="s">
        <v>99</v>
      </c>
      <c r="D36" s="16"/>
      <c r="E36" s="15" t="s">
        <v>8</v>
      </c>
      <c r="F36" s="15" t="s">
        <v>19</v>
      </c>
      <c r="G36" s="17">
        <f t="shared" si="0"/>
        <v>252</v>
      </c>
      <c r="H36" s="17">
        <f t="shared" si="1"/>
        <v>48</v>
      </c>
      <c r="I36" s="17"/>
      <c r="J36" s="17">
        <v>300</v>
      </c>
      <c r="K36" s="18"/>
      <c r="N36" s="30"/>
      <c r="O36" s="31"/>
      <c r="P36" s="31"/>
      <c r="Q36" s="31"/>
      <c r="R36" s="32"/>
      <c r="S36" s="32"/>
      <c r="T36" s="32"/>
      <c r="U36" s="31"/>
      <c r="V36" s="29"/>
    </row>
    <row r="37" spans="1:22">
      <c r="A37" s="73">
        <v>45880</v>
      </c>
      <c r="B37" s="20" t="s">
        <v>202</v>
      </c>
      <c r="C37" s="20" t="s">
        <v>99</v>
      </c>
      <c r="D37" s="21"/>
      <c r="E37" s="20" t="s">
        <v>8</v>
      </c>
      <c r="F37" s="20" t="s">
        <v>19</v>
      </c>
      <c r="G37" s="22">
        <f t="shared" si="0"/>
        <v>252</v>
      </c>
      <c r="H37" s="22">
        <f t="shared" si="1"/>
        <v>48</v>
      </c>
      <c r="I37" s="22"/>
      <c r="J37" s="22">
        <v>300</v>
      </c>
      <c r="K37" s="18"/>
      <c r="N37" s="30"/>
      <c r="O37" s="31"/>
      <c r="P37" s="31"/>
      <c r="Q37" s="31"/>
      <c r="R37" s="32"/>
      <c r="S37" s="32"/>
      <c r="T37" s="32"/>
      <c r="U37" s="31"/>
      <c r="V37" s="29"/>
    </row>
    <row r="38" spans="1:22" ht="45">
      <c r="A38" s="73">
        <v>45880</v>
      </c>
      <c r="B38" s="76" t="s">
        <v>203</v>
      </c>
      <c r="C38" s="76" t="s">
        <v>98</v>
      </c>
      <c r="D38" s="69"/>
      <c r="E38" s="76" t="s">
        <v>8</v>
      </c>
      <c r="F38" s="68" t="s">
        <v>19</v>
      </c>
      <c r="G38" s="71">
        <f t="shared" si="0"/>
        <v>168</v>
      </c>
      <c r="H38" s="71">
        <f t="shared" si="1"/>
        <v>32</v>
      </c>
      <c r="I38" s="71"/>
      <c r="J38" s="71">
        <v>200</v>
      </c>
      <c r="K38" s="54" t="s">
        <v>204</v>
      </c>
      <c r="N38" s="30"/>
      <c r="O38" s="31"/>
      <c r="P38" s="31"/>
      <c r="Q38" s="31"/>
      <c r="R38" s="32"/>
      <c r="S38" s="32"/>
      <c r="T38" s="32"/>
      <c r="U38" s="31"/>
      <c r="V38" s="29"/>
    </row>
    <row r="39" spans="1:22">
      <c r="A39" s="73">
        <v>45883</v>
      </c>
      <c r="B39" s="20" t="s">
        <v>178</v>
      </c>
      <c r="C39" s="20" t="s">
        <v>92</v>
      </c>
      <c r="D39" s="21"/>
      <c r="E39" s="20" t="s">
        <v>84</v>
      </c>
      <c r="F39" s="20" t="s">
        <v>85</v>
      </c>
      <c r="G39" s="22">
        <f t="shared" si="0"/>
        <v>840</v>
      </c>
      <c r="H39" s="22">
        <f t="shared" si="1"/>
        <v>160</v>
      </c>
      <c r="I39" s="22"/>
      <c r="J39" s="22">
        <v>1000</v>
      </c>
      <c r="K39" s="18"/>
      <c r="N39" s="30"/>
      <c r="O39" s="31"/>
      <c r="P39" s="31"/>
      <c r="Q39" s="31"/>
      <c r="R39" s="32"/>
      <c r="S39" s="32"/>
      <c r="T39" s="32"/>
      <c r="U39" s="31"/>
      <c r="V39" s="29"/>
    </row>
    <row r="40" spans="1:22">
      <c r="A40" s="73">
        <v>45883</v>
      </c>
      <c r="B40" s="20" t="s">
        <v>205</v>
      </c>
      <c r="C40" s="20" t="s">
        <v>16</v>
      </c>
      <c r="D40" s="21"/>
      <c r="E40" s="20" t="s">
        <v>189</v>
      </c>
      <c r="F40" s="20" t="s">
        <v>85</v>
      </c>
      <c r="G40" s="22">
        <f t="shared" si="0"/>
        <v>420</v>
      </c>
      <c r="H40" s="22">
        <f t="shared" si="1"/>
        <v>80</v>
      </c>
      <c r="I40" s="22"/>
      <c r="J40" s="22">
        <v>500</v>
      </c>
      <c r="K40" s="18"/>
      <c r="N40" s="29"/>
      <c r="O40" s="29"/>
      <c r="P40" s="29"/>
      <c r="Q40" s="29"/>
      <c r="R40" s="29"/>
      <c r="S40" s="29"/>
      <c r="T40" s="29"/>
      <c r="U40" s="29"/>
      <c r="V40" s="29"/>
    </row>
    <row r="41" spans="1:22">
      <c r="A41" s="73">
        <v>45883</v>
      </c>
      <c r="B41" s="15" t="s">
        <v>206</v>
      </c>
      <c r="C41" s="15" t="s">
        <v>58</v>
      </c>
      <c r="D41" s="16"/>
      <c r="E41" s="15" t="s">
        <v>84</v>
      </c>
      <c r="F41" s="15" t="s">
        <v>85</v>
      </c>
      <c r="G41" s="17">
        <f t="shared" si="0"/>
        <v>672</v>
      </c>
      <c r="H41" s="17">
        <f t="shared" si="1"/>
        <v>128</v>
      </c>
      <c r="I41" s="17"/>
      <c r="J41" s="17">
        <v>800</v>
      </c>
      <c r="K41" s="18"/>
      <c r="N41" s="29"/>
      <c r="O41" s="29"/>
      <c r="P41" s="29"/>
      <c r="Q41" s="29"/>
      <c r="R41" s="29"/>
      <c r="S41" s="29"/>
      <c r="T41" s="29"/>
      <c r="U41" s="29"/>
      <c r="V41" s="29"/>
    </row>
    <row r="42" spans="1:22" ht="45">
      <c r="A42" s="73">
        <v>45522</v>
      </c>
      <c r="B42" s="20" t="s">
        <v>208</v>
      </c>
      <c r="C42" s="20" t="s">
        <v>98</v>
      </c>
      <c r="D42" s="21"/>
      <c r="E42" s="20" t="s">
        <v>8</v>
      </c>
      <c r="F42" s="20" t="s">
        <v>19</v>
      </c>
      <c r="G42" s="22">
        <f t="shared" si="0"/>
        <v>336</v>
      </c>
      <c r="H42" s="22">
        <f t="shared" si="1"/>
        <v>64</v>
      </c>
      <c r="I42" s="22"/>
      <c r="J42" s="22">
        <v>400</v>
      </c>
      <c r="K42" s="63" t="s">
        <v>214</v>
      </c>
      <c r="N42" s="29"/>
      <c r="O42" s="29"/>
      <c r="P42" s="29"/>
      <c r="Q42" s="29"/>
      <c r="R42" s="29"/>
      <c r="S42" s="29"/>
      <c r="T42" s="29"/>
      <c r="U42" s="29"/>
      <c r="V42" s="29"/>
    </row>
    <row r="43" spans="1:22">
      <c r="A43" s="73">
        <v>45887</v>
      </c>
      <c r="B43" s="15" t="s">
        <v>210</v>
      </c>
      <c r="C43" s="15" t="s">
        <v>88</v>
      </c>
      <c r="D43" s="16"/>
      <c r="E43" s="15" t="s">
        <v>84</v>
      </c>
      <c r="F43" s="15" t="s">
        <v>85</v>
      </c>
      <c r="G43" s="17">
        <f t="shared" si="0"/>
        <v>588</v>
      </c>
      <c r="H43" s="17">
        <f t="shared" si="1"/>
        <v>112</v>
      </c>
      <c r="I43" s="17"/>
      <c r="J43" s="17">
        <v>700</v>
      </c>
      <c r="K43" s="18"/>
      <c r="N43" s="29"/>
      <c r="O43" s="29"/>
      <c r="P43" s="29"/>
      <c r="Q43" s="29"/>
      <c r="R43" s="29"/>
      <c r="S43" s="29"/>
      <c r="T43" s="29"/>
      <c r="U43" s="29"/>
      <c r="V43" s="29"/>
    </row>
    <row r="44" spans="1:22" ht="30">
      <c r="A44" s="73">
        <v>45887</v>
      </c>
      <c r="B44" s="15" t="s">
        <v>211</v>
      </c>
      <c r="C44" s="15" t="s">
        <v>16</v>
      </c>
      <c r="D44" s="16"/>
      <c r="E44" s="15" t="s">
        <v>84</v>
      </c>
      <c r="F44" s="15" t="s">
        <v>85</v>
      </c>
      <c r="G44" s="17">
        <f t="shared" si="0"/>
        <v>546</v>
      </c>
      <c r="H44" s="17">
        <f t="shared" si="1"/>
        <v>104</v>
      </c>
      <c r="I44" s="17"/>
      <c r="J44" s="17">
        <v>650</v>
      </c>
      <c r="K44" s="63" t="s">
        <v>215</v>
      </c>
    </row>
    <row r="45" spans="1:22">
      <c r="A45" s="73">
        <v>45887</v>
      </c>
      <c r="B45" s="20" t="s">
        <v>212</v>
      </c>
      <c r="C45" s="20" t="s">
        <v>99</v>
      </c>
      <c r="D45" s="21"/>
      <c r="E45" s="20" t="s">
        <v>8</v>
      </c>
      <c r="F45" s="20" t="s">
        <v>19</v>
      </c>
      <c r="G45" s="22">
        <f t="shared" si="0"/>
        <v>294</v>
      </c>
      <c r="H45" s="22">
        <f t="shared" si="1"/>
        <v>56</v>
      </c>
      <c r="I45" s="22"/>
      <c r="J45" s="22">
        <v>350</v>
      </c>
      <c r="K45" s="18"/>
    </row>
    <row r="46" spans="1:22" ht="30">
      <c r="A46" s="73">
        <v>45887</v>
      </c>
      <c r="B46" s="15" t="s">
        <v>212</v>
      </c>
      <c r="C46" s="15" t="s">
        <v>98</v>
      </c>
      <c r="D46" s="16"/>
      <c r="E46" s="15" t="s">
        <v>8</v>
      </c>
      <c r="F46" s="15" t="s">
        <v>19</v>
      </c>
      <c r="G46" s="17">
        <f t="shared" si="0"/>
        <v>84</v>
      </c>
      <c r="H46" s="17">
        <f t="shared" si="1"/>
        <v>16</v>
      </c>
      <c r="I46" s="17"/>
      <c r="J46" s="17">
        <v>100</v>
      </c>
      <c r="K46" s="63" t="s">
        <v>216</v>
      </c>
    </row>
    <row r="47" spans="1:22">
      <c r="A47" s="73">
        <v>45888</v>
      </c>
      <c r="B47" s="20" t="s">
        <v>219</v>
      </c>
      <c r="C47" s="20" t="s">
        <v>88</v>
      </c>
      <c r="D47" s="21"/>
      <c r="E47" s="20" t="s">
        <v>189</v>
      </c>
      <c r="F47" s="20" t="s">
        <v>85</v>
      </c>
      <c r="G47" s="22">
        <f t="shared" si="0"/>
        <v>546</v>
      </c>
      <c r="H47" s="22">
        <f t="shared" si="1"/>
        <v>104</v>
      </c>
      <c r="I47" s="22"/>
      <c r="J47" s="22">
        <v>650</v>
      </c>
      <c r="K47" s="18"/>
    </row>
    <row r="48" spans="1:22">
      <c r="A48" s="67">
        <v>45889</v>
      </c>
      <c r="B48" s="15" t="s">
        <v>220</v>
      </c>
      <c r="C48" s="15" t="s">
        <v>99</v>
      </c>
      <c r="D48" s="16"/>
      <c r="E48" s="15" t="s">
        <v>189</v>
      </c>
      <c r="F48" s="15" t="s">
        <v>85</v>
      </c>
      <c r="G48" s="17">
        <f t="shared" si="0"/>
        <v>420</v>
      </c>
      <c r="H48" s="17">
        <f t="shared" si="1"/>
        <v>80</v>
      </c>
      <c r="I48" s="17"/>
      <c r="J48" s="17">
        <v>500</v>
      </c>
      <c r="K48" s="18"/>
    </row>
    <row r="49" spans="1:21">
      <c r="A49" s="67">
        <v>45889</v>
      </c>
      <c r="B49" s="20" t="s">
        <v>222</v>
      </c>
      <c r="C49" s="20" t="s">
        <v>98</v>
      </c>
      <c r="D49" s="21"/>
      <c r="E49" s="20" t="s">
        <v>8</v>
      </c>
      <c r="F49" s="20" t="s">
        <v>19</v>
      </c>
      <c r="G49" s="22">
        <f t="shared" si="0"/>
        <v>336</v>
      </c>
      <c r="H49" s="22">
        <f t="shared" si="1"/>
        <v>64</v>
      </c>
      <c r="I49" s="22"/>
      <c r="J49" s="22">
        <v>400</v>
      </c>
      <c r="K49" s="18" t="s">
        <v>223</v>
      </c>
    </row>
    <row r="50" spans="1:21">
      <c r="A50" s="67">
        <v>45889</v>
      </c>
      <c r="B50" s="15" t="s">
        <v>17</v>
      </c>
      <c r="C50" s="15" t="s">
        <v>16</v>
      </c>
      <c r="D50" s="16"/>
      <c r="E50" s="15"/>
      <c r="F50" s="15"/>
      <c r="G50" s="17">
        <f t="shared" si="0"/>
        <v>420</v>
      </c>
      <c r="H50" s="17">
        <f t="shared" si="1"/>
        <v>80</v>
      </c>
      <c r="I50" s="17"/>
      <c r="J50" s="17">
        <v>500</v>
      </c>
      <c r="K50" s="18"/>
      <c r="N50" s="30"/>
      <c r="O50" s="31"/>
      <c r="P50" s="31"/>
      <c r="Q50" s="31"/>
      <c r="R50" s="32"/>
      <c r="S50" s="32"/>
      <c r="T50" s="32"/>
      <c r="U50" s="31"/>
    </row>
    <row r="51" spans="1:21">
      <c r="A51" s="67">
        <v>45889</v>
      </c>
      <c r="B51" s="20" t="s">
        <v>181</v>
      </c>
      <c r="C51" s="20" t="s">
        <v>98</v>
      </c>
      <c r="D51" s="21"/>
      <c r="E51" s="20"/>
      <c r="F51" s="20"/>
      <c r="G51" s="22">
        <f t="shared" si="0"/>
        <v>0</v>
      </c>
      <c r="H51" s="22">
        <f t="shared" si="1"/>
        <v>0</v>
      </c>
      <c r="I51" s="22"/>
      <c r="J51" s="22">
        <v>0</v>
      </c>
      <c r="K51" s="18"/>
      <c r="N51" s="30"/>
      <c r="O51" s="31"/>
      <c r="P51" s="31"/>
      <c r="Q51" s="31"/>
      <c r="R51" s="32"/>
      <c r="S51" s="32"/>
      <c r="T51" s="32"/>
      <c r="U51" s="31"/>
    </row>
    <row r="52" spans="1:21">
      <c r="A52" s="67">
        <v>45889</v>
      </c>
      <c r="B52" s="78" t="s">
        <v>206</v>
      </c>
      <c r="C52" s="78" t="s">
        <v>98</v>
      </c>
      <c r="D52" s="21"/>
      <c r="E52" s="21"/>
      <c r="F52" s="78" t="s">
        <v>224</v>
      </c>
      <c r="G52" s="79">
        <f t="shared" si="0"/>
        <v>0</v>
      </c>
      <c r="H52" s="79">
        <f t="shared" si="1"/>
        <v>0</v>
      </c>
      <c r="I52" s="78" t="s">
        <v>224</v>
      </c>
      <c r="J52" s="79">
        <v>0</v>
      </c>
      <c r="K52" s="78" t="s">
        <v>224</v>
      </c>
      <c r="N52" s="30"/>
      <c r="O52" s="31"/>
      <c r="P52" s="31"/>
      <c r="Q52" s="31"/>
      <c r="R52" s="32"/>
      <c r="S52" s="32"/>
      <c r="T52" s="32"/>
      <c r="U52" s="31"/>
    </row>
    <row r="53" spans="1:21" ht="45">
      <c r="A53" s="67">
        <v>45889</v>
      </c>
      <c r="B53" s="15" t="s">
        <v>181</v>
      </c>
      <c r="C53" s="80" t="s">
        <v>93</v>
      </c>
      <c r="D53" s="21"/>
      <c r="E53" s="20" t="s">
        <v>8</v>
      </c>
      <c r="F53" s="20" t="s">
        <v>19</v>
      </c>
      <c r="G53" s="22">
        <f t="shared" ref="G53:G62" si="4">J53-H53</f>
        <v>588</v>
      </c>
      <c r="H53" s="22">
        <f t="shared" ref="H53:H62" si="5">J53*0.16</f>
        <v>112</v>
      </c>
      <c r="I53" s="22"/>
      <c r="J53" s="22">
        <v>700</v>
      </c>
      <c r="K53" s="63" t="s">
        <v>225</v>
      </c>
      <c r="N53" s="30"/>
      <c r="O53" s="31"/>
      <c r="P53" s="31"/>
      <c r="Q53" s="31"/>
      <c r="R53" s="32"/>
      <c r="S53" s="32"/>
      <c r="T53" s="32"/>
      <c r="U53" s="31"/>
    </row>
    <row r="54" spans="1:21" ht="30">
      <c r="A54" s="67">
        <v>45889</v>
      </c>
      <c r="B54" s="78" t="s">
        <v>206</v>
      </c>
      <c r="C54" s="78" t="s">
        <v>98</v>
      </c>
      <c r="D54" s="21"/>
      <c r="E54" s="21" t="s">
        <v>8</v>
      </c>
      <c r="F54" s="78" t="s">
        <v>19</v>
      </c>
      <c r="G54" s="79">
        <f t="shared" si="4"/>
        <v>84</v>
      </c>
      <c r="H54" s="79">
        <f t="shared" si="5"/>
        <v>16</v>
      </c>
      <c r="I54" s="78" t="s">
        <v>224</v>
      </c>
      <c r="J54" s="79">
        <v>100</v>
      </c>
      <c r="K54" s="81" t="s">
        <v>226</v>
      </c>
      <c r="N54" s="30"/>
      <c r="O54" s="31"/>
      <c r="P54" s="31"/>
      <c r="Q54" s="31"/>
      <c r="R54" s="32"/>
      <c r="S54" s="32"/>
      <c r="T54" s="32"/>
      <c r="U54" s="31"/>
    </row>
    <row r="55" spans="1:21">
      <c r="A55" s="73">
        <v>45890</v>
      </c>
      <c r="B55" s="15" t="s">
        <v>186</v>
      </c>
      <c r="C55" s="15" t="s">
        <v>98</v>
      </c>
      <c r="D55" s="16"/>
      <c r="E55" s="15"/>
      <c r="F55" s="15"/>
      <c r="G55" s="17">
        <f t="shared" si="4"/>
        <v>0</v>
      </c>
      <c r="H55" s="17">
        <f t="shared" si="5"/>
        <v>0</v>
      </c>
      <c r="I55" s="17"/>
      <c r="J55" s="17">
        <v>0</v>
      </c>
      <c r="K55" s="63" t="s">
        <v>227</v>
      </c>
    </row>
    <row r="56" spans="1:21" ht="30">
      <c r="A56" s="73">
        <v>45890</v>
      </c>
      <c r="B56" s="15" t="s">
        <v>228</v>
      </c>
      <c r="C56" s="15" t="s">
        <v>16</v>
      </c>
      <c r="D56" s="16"/>
      <c r="E56" s="15" t="s">
        <v>8</v>
      </c>
      <c r="F56" s="15"/>
      <c r="G56" s="17">
        <f t="shared" si="4"/>
        <v>504</v>
      </c>
      <c r="H56" s="17">
        <f t="shared" si="5"/>
        <v>96</v>
      </c>
      <c r="I56" s="17"/>
      <c r="J56" s="17">
        <v>600</v>
      </c>
      <c r="K56" s="63" t="s">
        <v>216</v>
      </c>
    </row>
    <row r="57" spans="1:21" ht="30">
      <c r="A57" s="73">
        <v>45891</v>
      </c>
      <c r="B57" s="15" t="s">
        <v>221</v>
      </c>
      <c r="C57" s="15" t="s">
        <v>98</v>
      </c>
      <c r="D57" s="16"/>
      <c r="E57" s="15" t="s">
        <v>84</v>
      </c>
      <c r="F57" s="15" t="s">
        <v>85</v>
      </c>
      <c r="G57" s="17">
        <f t="shared" si="4"/>
        <v>42</v>
      </c>
      <c r="H57" s="17">
        <f t="shared" si="5"/>
        <v>8</v>
      </c>
      <c r="I57" s="17"/>
      <c r="J57" s="17">
        <v>50</v>
      </c>
      <c r="K57" s="63" t="s">
        <v>230</v>
      </c>
    </row>
    <row r="58" spans="1:21">
      <c r="A58" s="73">
        <v>45891</v>
      </c>
      <c r="B58" s="15" t="s">
        <v>221</v>
      </c>
      <c r="C58" s="15" t="s">
        <v>99</v>
      </c>
      <c r="D58" s="16"/>
      <c r="E58" s="15" t="s">
        <v>84</v>
      </c>
      <c r="F58" s="15" t="s">
        <v>85</v>
      </c>
      <c r="G58" s="17">
        <f t="shared" si="4"/>
        <v>378</v>
      </c>
      <c r="H58" s="17">
        <f t="shared" si="5"/>
        <v>72</v>
      </c>
      <c r="I58" s="17"/>
      <c r="J58" s="17">
        <v>450</v>
      </c>
      <c r="K58" s="63"/>
    </row>
    <row r="59" spans="1:21">
      <c r="A59" s="73">
        <v>45891</v>
      </c>
      <c r="B59" s="15" t="s">
        <v>229</v>
      </c>
      <c r="C59" s="15" t="s">
        <v>98</v>
      </c>
      <c r="D59" s="16"/>
      <c r="E59" s="15" t="s">
        <v>84</v>
      </c>
      <c r="F59" s="15" t="s">
        <v>85</v>
      </c>
      <c r="G59" s="17">
        <f t="shared" si="4"/>
        <v>336</v>
      </c>
      <c r="H59" s="17">
        <f t="shared" si="5"/>
        <v>64</v>
      </c>
      <c r="I59" s="17"/>
      <c r="J59" s="17">
        <v>400</v>
      </c>
      <c r="K59" s="63" t="s">
        <v>209</v>
      </c>
    </row>
    <row r="60" spans="1:21">
      <c r="A60" s="73">
        <v>45892</v>
      </c>
      <c r="B60" s="15" t="s">
        <v>203</v>
      </c>
      <c r="C60" s="15" t="s">
        <v>88</v>
      </c>
      <c r="D60" s="16"/>
      <c r="E60" s="15" t="s">
        <v>8</v>
      </c>
      <c r="F60" s="15" t="s">
        <v>19</v>
      </c>
      <c r="G60" s="17">
        <f t="shared" si="4"/>
        <v>504</v>
      </c>
      <c r="H60" s="17">
        <f t="shared" si="5"/>
        <v>96</v>
      </c>
      <c r="I60" s="17"/>
      <c r="J60" s="17">
        <v>600</v>
      </c>
      <c r="K60" s="63"/>
    </row>
    <row r="61" spans="1:21">
      <c r="A61" s="73">
        <v>45892</v>
      </c>
      <c r="B61" s="78" t="s">
        <v>203</v>
      </c>
      <c r="C61" s="78" t="s">
        <v>99</v>
      </c>
      <c r="D61" s="16"/>
      <c r="E61" s="15" t="s">
        <v>8</v>
      </c>
      <c r="F61" s="15" t="s">
        <v>19</v>
      </c>
      <c r="G61" s="79">
        <f t="shared" si="4"/>
        <v>252</v>
      </c>
      <c r="H61" s="79">
        <f t="shared" si="5"/>
        <v>48</v>
      </c>
      <c r="I61" s="17"/>
      <c r="J61" s="79">
        <v>300</v>
      </c>
      <c r="K61" s="63"/>
    </row>
    <row r="62" spans="1:21">
      <c r="A62" s="73">
        <v>45892</v>
      </c>
      <c r="B62" s="78" t="s">
        <v>56</v>
      </c>
      <c r="C62" s="78" t="s">
        <v>98</v>
      </c>
      <c r="D62" s="16"/>
      <c r="E62" s="15"/>
      <c r="F62" s="15"/>
      <c r="G62" s="79">
        <f t="shared" si="4"/>
        <v>0</v>
      </c>
      <c r="H62" s="79">
        <f t="shared" si="5"/>
        <v>0</v>
      </c>
      <c r="I62" s="17"/>
      <c r="J62" s="79">
        <v>0</v>
      </c>
      <c r="K62" s="63"/>
    </row>
    <row r="63" spans="1:21">
      <c r="A63" s="73">
        <v>45891</v>
      </c>
      <c r="B63" s="15" t="s">
        <v>231</v>
      </c>
      <c r="C63" s="15" t="s">
        <v>16</v>
      </c>
      <c r="D63" s="16"/>
      <c r="E63" s="15" t="s">
        <v>8</v>
      </c>
      <c r="F63" s="15" t="s">
        <v>19</v>
      </c>
      <c r="G63" s="17">
        <f t="shared" ref="G63:G73" si="6">J63-H63</f>
        <v>504</v>
      </c>
      <c r="H63" s="17">
        <f t="shared" ref="H63:H73" si="7">J63*0.16</f>
        <v>96</v>
      </c>
      <c r="I63" s="17"/>
      <c r="J63" s="17">
        <v>600</v>
      </c>
      <c r="K63" s="63"/>
    </row>
    <row r="64" spans="1:21">
      <c r="A64" s="73">
        <v>45899</v>
      </c>
      <c r="B64" s="78" t="s">
        <v>232</v>
      </c>
      <c r="C64" s="15" t="s">
        <v>16</v>
      </c>
      <c r="D64" s="16"/>
      <c r="E64" s="78" t="s">
        <v>8</v>
      </c>
      <c r="F64" s="78" t="s">
        <v>85</v>
      </c>
      <c r="G64" s="79">
        <f t="shared" si="6"/>
        <v>504</v>
      </c>
      <c r="H64" s="79">
        <f t="shared" si="7"/>
        <v>96</v>
      </c>
      <c r="I64" s="63"/>
      <c r="J64" s="79">
        <v>600</v>
      </c>
      <c r="K64" s="63"/>
    </row>
    <row r="65" spans="1:11">
      <c r="A65" s="73">
        <v>45899</v>
      </c>
      <c r="B65" s="78" t="s">
        <v>47</v>
      </c>
      <c r="C65" s="15" t="s">
        <v>16</v>
      </c>
      <c r="D65" s="16"/>
      <c r="E65" s="78" t="s">
        <v>84</v>
      </c>
      <c r="F65" s="78" t="s">
        <v>85</v>
      </c>
      <c r="G65" s="79">
        <f t="shared" si="6"/>
        <v>504</v>
      </c>
      <c r="H65" s="79">
        <f t="shared" si="7"/>
        <v>96</v>
      </c>
      <c r="I65" s="63"/>
      <c r="J65" s="79">
        <v>600</v>
      </c>
      <c r="K65" s="63"/>
    </row>
    <row r="66" spans="1:11">
      <c r="A66" s="73">
        <v>45899</v>
      </c>
      <c r="B66" s="78" t="s">
        <v>233</v>
      </c>
      <c r="C66" s="78" t="s">
        <v>16</v>
      </c>
      <c r="D66" s="16"/>
      <c r="E66" s="78" t="s">
        <v>84</v>
      </c>
      <c r="F66" s="78" t="s">
        <v>85</v>
      </c>
      <c r="G66" s="79">
        <f t="shared" si="6"/>
        <v>504</v>
      </c>
      <c r="H66" s="79">
        <f t="shared" si="7"/>
        <v>96</v>
      </c>
      <c r="I66" s="63"/>
      <c r="J66" s="79">
        <v>600</v>
      </c>
      <c r="K66" s="63"/>
    </row>
    <row r="67" spans="1:11">
      <c r="A67" s="73">
        <v>45899</v>
      </c>
      <c r="B67" s="78" t="s">
        <v>203</v>
      </c>
      <c r="C67" s="15" t="s">
        <v>16</v>
      </c>
      <c r="D67" s="16"/>
      <c r="E67" s="78" t="s">
        <v>8</v>
      </c>
      <c r="F67" s="78" t="s">
        <v>19</v>
      </c>
      <c r="G67" s="79">
        <f t="shared" si="6"/>
        <v>420</v>
      </c>
      <c r="H67" s="79">
        <f t="shared" si="7"/>
        <v>80</v>
      </c>
      <c r="I67" s="63"/>
      <c r="J67" s="79">
        <v>500</v>
      </c>
      <c r="K67" s="63" t="s">
        <v>244</v>
      </c>
    </row>
    <row r="68" spans="1:11">
      <c r="A68" s="73">
        <v>45899</v>
      </c>
      <c r="B68" s="78" t="s">
        <v>234</v>
      </c>
      <c r="C68" s="78" t="s">
        <v>16</v>
      </c>
      <c r="D68" s="16"/>
      <c r="E68" s="78" t="s">
        <v>84</v>
      </c>
      <c r="F68" s="78" t="s">
        <v>85</v>
      </c>
      <c r="G68" s="79">
        <f t="shared" si="6"/>
        <v>420</v>
      </c>
      <c r="H68" s="79">
        <f t="shared" si="7"/>
        <v>80</v>
      </c>
      <c r="I68" s="63"/>
      <c r="J68" s="79">
        <v>500</v>
      </c>
      <c r="K68" s="63" t="s">
        <v>237</v>
      </c>
    </row>
    <row r="69" spans="1:11" ht="30">
      <c r="A69" s="73">
        <v>45899</v>
      </c>
      <c r="B69" s="78" t="s">
        <v>234</v>
      </c>
      <c r="C69" s="78" t="s">
        <v>98</v>
      </c>
      <c r="D69" s="16" t="s">
        <v>238</v>
      </c>
      <c r="E69" s="78" t="s">
        <v>8</v>
      </c>
      <c r="F69" s="78" t="s">
        <v>19</v>
      </c>
      <c r="G69" s="79">
        <f t="shared" si="6"/>
        <v>420</v>
      </c>
      <c r="H69" s="79">
        <f t="shared" si="7"/>
        <v>80</v>
      </c>
      <c r="I69" s="63"/>
      <c r="J69" s="79">
        <v>500</v>
      </c>
      <c r="K69" s="63"/>
    </row>
    <row r="70" spans="1:11" ht="30">
      <c r="A70" s="73">
        <v>45899</v>
      </c>
      <c r="B70" s="78" t="s">
        <v>234</v>
      </c>
      <c r="C70" s="78" t="s">
        <v>98</v>
      </c>
      <c r="D70" s="16" t="s">
        <v>239</v>
      </c>
      <c r="E70" s="78" t="s">
        <v>8</v>
      </c>
      <c r="F70" s="78" t="s">
        <v>19</v>
      </c>
      <c r="G70" s="79">
        <f t="shared" si="6"/>
        <v>504</v>
      </c>
      <c r="H70" s="79">
        <f t="shared" si="7"/>
        <v>96</v>
      </c>
      <c r="I70" s="63"/>
      <c r="J70" s="79">
        <v>600</v>
      </c>
      <c r="K70" s="63"/>
    </row>
    <row r="71" spans="1:11">
      <c r="A71" s="73">
        <v>45899</v>
      </c>
      <c r="B71" s="78" t="s">
        <v>234</v>
      </c>
      <c r="C71" s="78" t="s">
        <v>98</v>
      </c>
      <c r="D71" s="16" t="s">
        <v>240</v>
      </c>
      <c r="E71" s="78" t="s">
        <v>8</v>
      </c>
      <c r="F71" s="78" t="s">
        <v>19</v>
      </c>
      <c r="G71" s="79">
        <f t="shared" si="6"/>
        <v>420</v>
      </c>
      <c r="H71" s="79">
        <f t="shared" si="7"/>
        <v>80</v>
      </c>
      <c r="I71" s="63"/>
      <c r="J71" s="79">
        <v>500</v>
      </c>
      <c r="K71" s="63"/>
    </row>
    <row r="72" spans="1:11">
      <c r="A72" s="73">
        <v>45899</v>
      </c>
      <c r="B72" s="78" t="s">
        <v>235</v>
      </c>
      <c r="C72" s="78" t="s">
        <v>99</v>
      </c>
      <c r="D72" s="16"/>
      <c r="E72" s="78" t="s">
        <v>84</v>
      </c>
      <c r="F72" s="78" t="s">
        <v>85</v>
      </c>
      <c r="G72" s="79">
        <f t="shared" si="6"/>
        <v>562.79999999999995</v>
      </c>
      <c r="H72" s="79">
        <f t="shared" si="7"/>
        <v>107.2</v>
      </c>
      <c r="I72" s="63"/>
      <c r="J72" s="79">
        <v>670</v>
      </c>
      <c r="K72" s="63"/>
    </row>
    <row r="73" spans="1:11">
      <c r="A73" s="73">
        <v>45899</v>
      </c>
      <c r="B73" s="78" t="s">
        <v>235</v>
      </c>
      <c r="C73" s="78" t="s">
        <v>16</v>
      </c>
      <c r="D73" s="16"/>
      <c r="E73" s="78" t="s">
        <v>84</v>
      </c>
      <c r="F73" s="78" t="s">
        <v>85</v>
      </c>
      <c r="G73" s="79">
        <f t="shared" si="6"/>
        <v>294</v>
      </c>
      <c r="H73" s="79">
        <f t="shared" si="7"/>
        <v>56</v>
      </c>
      <c r="I73" s="63"/>
      <c r="J73" s="79">
        <v>350</v>
      </c>
      <c r="K73" s="63"/>
    </row>
    <row r="76" spans="1:11">
      <c r="B76" s="82"/>
    </row>
  </sheetData>
  <mergeCells count="4">
    <mergeCell ref="D4:E4"/>
    <mergeCell ref="A6:B6"/>
    <mergeCell ref="A14:K14"/>
    <mergeCell ref="N14:U14"/>
  </mergeCells>
  <dataValidations count="4">
    <dataValidation type="list" allowBlank="1" showInputMessage="1" showErrorMessage="1" sqref="C16:C51 C55:C60 C63:C65 C67" xr:uid="{86543231-AB54-7743-9F66-7E47BF45F05C}">
      <formula1>"Limpieza Profunda, Anti-acné, PRODUCTO, Depilación Láser, Facial despigmentante, Lifting facial, Dermapen, Otro"</formula1>
    </dataValidation>
    <dataValidation type="list" allowBlank="1" showInputMessage="1" showErrorMessage="1" sqref="F53 Q16:Q25 Q27:Q39 F16:F51 Q50:Q54 F55:F63" xr:uid="{30A23DF9-0E0D-964E-BE32-D2D00B26A4FF}">
      <formula1>"BBVA Alo, Caja"</formula1>
    </dataValidation>
    <dataValidation type="list" allowBlank="1" showInputMessage="1" showErrorMessage="1" sqref="E53 P16:P25 P27:P39 E16:E51 P50:P54 E55:E63" xr:uid="{2DFDB57D-1D96-1643-A7D8-409FDE91A901}">
      <formula1>"Efectivo,Transferencia,Tarjeta"</formula1>
    </dataValidation>
    <dataValidation type="list" allowBlank="1" showInputMessage="1" showErrorMessage="1" sqref="E15 P15" xr:uid="{BFAB8B8C-4155-8F4F-8AD9-7FBBDD346845}">
      <formula1>"Efectivo, Transferencia, Tarjeta"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6D75-BEA2-1D4C-84E7-D5731152E59B}">
  <dimension ref="A1:V55"/>
  <sheetViews>
    <sheetView topLeftCell="A37" workbookViewId="0">
      <selection activeCell="G70" sqref="G70"/>
    </sheetView>
  </sheetViews>
  <sheetFormatPr baseColWidth="10" defaultRowHeight="15"/>
  <cols>
    <col min="1" max="1" width="19.6640625" customWidth="1"/>
    <col min="2" max="2" width="17.6640625" customWidth="1"/>
    <col min="3" max="3" width="18.6640625" bestFit="1" customWidth="1"/>
    <col min="4" max="4" width="22.1640625" style="8" customWidth="1"/>
    <col min="5" max="5" width="19.1640625" customWidth="1"/>
    <col min="6" max="6" width="21" customWidth="1"/>
    <col min="7" max="7" width="12.1640625" customWidth="1"/>
    <col min="9" max="9" width="14.33203125" customWidth="1"/>
    <col min="11" max="11" width="13" customWidth="1"/>
    <col min="12" max="13" width="3.1640625" customWidth="1"/>
    <col min="14" max="14" width="14.33203125" customWidth="1"/>
    <col min="15" max="15" width="19.1640625" customWidth="1"/>
    <col min="16" max="16" width="15.83203125" bestFit="1" customWidth="1"/>
    <col min="17" max="17" width="17.6640625" bestFit="1" customWidth="1"/>
    <col min="18" max="18" width="10.5" bestFit="1" customWidth="1"/>
  </cols>
  <sheetData>
    <row r="1" spans="1:21" ht="54" customHeight="1">
      <c r="A1" s="10"/>
      <c r="B1" s="10"/>
    </row>
    <row r="2" spans="1:21" ht="42" customHeight="1">
      <c r="A2" s="10"/>
      <c r="B2" s="10"/>
      <c r="E2" s="9"/>
    </row>
    <row r="3" spans="1:21">
      <c r="A3" s="6"/>
      <c r="B3" s="7"/>
    </row>
    <row r="4" spans="1:21" ht="42">
      <c r="A4" s="23" t="s">
        <v>75</v>
      </c>
      <c r="B4" s="24" t="s">
        <v>24</v>
      </c>
      <c r="D4" s="91" t="s">
        <v>86</v>
      </c>
      <c r="E4" s="91"/>
    </row>
    <row r="5" spans="1:21" ht="16">
      <c r="D5" s="26" t="s">
        <v>87</v>
      </c>
      <c r="E5" s="27">
        <f>SUMIF(C$15:C$196, "Limpieza profunda", J$15:J$1048576)</f>
        <v>5570</v>
      </c>
    </row>
    <row r="6" spans="1:21" ht="18">
      <c r="A6" s="92" t="s">
        <v>76</v>
      </c>
      <c r="B6" s="92"/>
      <c r="D6" s="26" t="s">
        <v>88</v>
      </c>
      <c r="E6" s="27">
        <f>SUMIF(C$15:C$196, "Anti-acné", J$15:J$1048576)</f>
        <v>1900</v>
      </c>
    </row>
    <row r="7" spans="1:21" ht="18">
      <c r="A7" s="25" t="s">
        <v>82</v>
      </c>
      <c r="B7" s="33">
        <f>SUM(J16:J51)</f>
        <v>22970</v>
      </c>
      <c r="D7" s="26" t="s">
        <v>90</v>
      </c>
      <c r="E7" s="27">
        <f>SUMIF(C$15:C$196, "Depilación Láser", J$15:J$1048576)</f>
        <v>2500</v>
      </c>
    </row>
    <row r="8" spans="1:21" ht="18">
      <c r="A8" s="25" t="s">
        <v>83</v>
      </c>
      <c r="B8" s="33">
        <f>SUM(T16:T22)</f>
        <v>18930</v>
      </c>
      <c r="D8" s="26" t="s">
        <v>91</v>
      </c>
      <c r="E8" s="27">
        <f>SUMIF(C$15:C$196, "Facial despigmentante", J$15:J$1048576)</f>
        <v>600</v>
      </c>
    </row>
    <row r="9" spans="1:21" ht="16">
      <c r="D9" s="26" t="s">
        <v>58</v>
      </c>
      <c r="E9" s="27">
        <f>SUMIF(C$15:C$196, "Dermapen", J$15:J$1048576)</f>
        <v>700</v>
      </c>
    </row>
    <row r="10" spans="1:21" ht="16">
      <c r="D10" s="26" t="s">
        <v>92</v>
      </c>
      <c r="E10" s="27">
        <f>SUMIF(C$15:C$196, "Lifting facial", J$15:J$1048576)</f>
        <v>750</v>
      </c>
    </row>
    <row r="11" spans="1:21" ht="16">
      <c r="D11" s="26" t="s">
        <v>89</v>
      </c>
      <c r="E11" s="27">
        <f>SUMIF(C$15:C$196, "PRODUCTO", J$15:J$1048576)</f>
        <v>5850</v>
      </c>
    </row>
    <row r="12" spans="1:21" ht="16">
      <c r="D12" s="26" t="s">
        <v>98</v>
      </c>
      <c r="E12" s="27">
        <f>SUMIF(C$15:C$196, "Otro", J$15:J$1048576)</f>
        <v>5100</v>
      </c>
    </row>
    <row r="13" spans="1:21">
      <c r="E13" s="2"/>
    </row>
    <row r="14" spans="1:21" ht="32" customHeight="1">
      <c r="A14" s="93" t="s">
        <v>94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N14" s="94" t="s">
        <v>96</v>
      </c>
      <c r="O14" s="94"/>
      <c r="P14" s="94"/>
      <c r="Q14" s="94"/>
      <c r="R14" s="94"/>
      <c r="S14" s="94"/>
      <c r="T14" s="94"/>
      <c r="U14" s="94"/>
    </row>
    <row r="15" spans="1:21" ht="16">
      <c r="A15" s="12" t="s">
        <v>81</v>
      </c>
      <c r="B15" s="12" t="s">
        <v>78</v>
      </c>
      <c r="C15" s="12" t="s">
        <v>97</v>
      </c>
      <c r="D15" s="13" t="s">
        <v>77</v>
      </c>
      <c r="E15" s="12" t="s">
        <v>79</v>
      </c>
      <c r="F15" s="12" t="s">
        <v>80</v>
      </c>
      <c r="G15" s="12" t="s">
        <v>2</v>
      </c>
      <c r="H15" s="12" t="s">
        <v>1</v>
      </c>
      <c r="I15" s="12" t="s">
        <v>3</v>
      </c>
      <c r="J15" s="12" t="s">
        <v>4</v>
      </c>
      <c r="K15" s="12" t="s">
        <v>95</v>
      </c>
      <c r="N15" s="28" t="s">
        <v>81</v>
      </c>
      <c r="O15" s="28" t="s">
        <v>5</v>
      </c>
      <c r="P15" s="28" t="s">
        <v>79</v>
      </c>
      <c r="Q15" s="28" t="s">
        <v>80</v>
      </c>
      <c r="R15" s="28" t="s">
        <v>2</v>
      </c>
      <c r="S15" s="28" t="s">
        <v>1</v>
      </c>
      <c r="T15" s="28" t="s">
        <v>4</v>
      </c>
      <c r="U15" s="28" t="s">
        <v>95</v>
      </c>
    </row>
    <row r="16" spans="1:21">
      <c r="A16" s="14">
        <v>45810</v>
      </c>
      <c r="B16" s="15" t="s">
        <v>17</v>
      </c>
      <c r="C16" s="15" t="s">
        <v>16</v>
      </c>
      <c r="D16" s="16"/>
      <c r="E16" s="15" t="s">
        <v>84</v>
      </c>
      <c r="F16" s="15" t="s">
        <v>85</v>
      </c>
      <c r="G16" s="17">
        <f t="shared" ref="G16:G39" si="0">J16-H16</f>
        <v>462</v>
      </c>
      <c r="H16" s="17">
        <f t="shared" ref="H16:H39" si="1">J16*0.16</f>
        <v>88</v>
      </c>
      <c r="I16" s="17">
        <v>0</v>
      </c>
      <c r="J16" s="17">
        <v>550</v>
      </c>
      <c r="K16" s="18"/>
      <c r="N16" s="14">
        <v>45834</v>
      </c>
      <c r="O16" s="15" t="s">
        <v>60</v>
      </c>
      <c r="P16" s="15" t="s">
        <v>8</v>
      </c>
      <c r="Q16" s="15" t="s">
        <v>19</v>
      </c>
      <c r="R16" s="17">
        <f t="shared" ref="R16:R22" si="2">T16-S16</f>
        <v>7980</v>
      </c>
      <c r="S16" s="17">
        <f t="shared" ref="S16:S22" si="3">T16*0.16</f>
        <v>1520</v>
      </c>
      <c r="T16" s="17">
        <v>9500</v>
      </c>
      <c r="U16" s="18"/>
    </row>
    <row r="17" spans="1:22">
      <c r="A17" s="19">
        <v>45811</v>
      </c>
      <c r="B17" s="20" t="s">
        <v>25</v>
      </c>
      <c r="C17" s="20" t="s">
        <v>88</v>
      </c>
      <c r="D17" s="21"/>
      <c r="E17" s="20" t="s">
        <v>8</v>
      </c>
      <c r="F17" s="20" t="s">
        <v>19</v>
      </c>
      <c r="G17" s="22">
        <f t="shared" si="0"/>
        <v>504</v>
      </c>
      <c r="H17" s="22">
        <f t="shared" si="1"/>
        <v>96</v>
      </c>
      <c r="I17" s="22">
        <v>0</v>
      </c>
      <c r="J17" s="22">
        <v>600</v>
      </c>
      <c r="K17" s="18"/>
      <c r="N17" s="19">
        <v>45839</v>
      </c>
      <c r="O17" s="20" t="s">
        <v>63</v>
      </c>
      <c r="P17" s="20" t="s">
        <v>84</v>
      </c>
      <c r="Q17" s="20" t="s">
        <v>19</v>
      </c>
      <c r="R17" s="22">
        <f t="shared" si="2"/>
        <v>193.2</v>
      </c>
      <c r="S17" s="22">
        <f t="shared" si="3"/>
        <v>36.800000000000004</v>
      </c>
      <c r="T17" s="22">
        <v>230</v>
      </c>
      <c r="U17" s="18"/>
    </row>
    <row r="18" spans="1:22" ht="30">
      <c r="A18" s="14">
        <v>45812</v>
      </c>
      <c r="B18" s="15" t="s">
        <v>25</v>
      </c>
      <c r="C18" s="15" t="s">
        <v>93</v>
      </c>
      <c r="D18" s="16" t="s">
        <v>28</v>
      </c>
      <c r="E18" s="15" t="s">
        <v>84</v>
      </c>
      <c r="F18" s="15" t="s">
        <v>19</v>
      </c>
      <c r="G18" s="17">
        <f t="shared" si="0"/>
        <v>462</v>
      </c>
      <c r="H18" s="17">
        <f t="shared" si="1"/>
        <v>88</v>
      </c>
      <c r="I18" s="17">
        <v>0</v>
      </c>
      <c r="J18" s="17">
        <v>550</v>
      </c>
      <c r="K18" s="18"/>
      <c r="N18" s="14">
        <v>45840</v>
      </c>
      <c r="O18" s="15" t="s">
        <v>66</v>
      </c>
      <c r="P18" s="15" t="s">
        <v>84</v>
      </c>
      <c r="Q18" s="15" t="s">
        <v>19</v>
      </c>
      <c r="R18" s="17">
        <f t="shared" si="2"/>
        <v>1008</v>
      </c>
      <c r="S18" s="17">
        <f t="shared" si="3"/>
        <v>192</v>
      </c>
      <c r="T18" s="17">
        <v>1200</v>
      </c>
      <c r="U18" s="18"/>
    </row>
    <row r="19" spans="1:22">
      <c r="A19" s="19">
        <v>45813</v>
      </c>
      <c r="B19" s="20" t="s">
        <v>25</v>
      </c>
      <c r="C19" s="20" t="s">
        <v>93</v>
      </c>
      <c r="D19" s="21" t="s">
        <v>27</v>
      </c>
      <c r="E19" s="20" t="s">
        <v>8</v>
      </c>
      <c r="F19" s="20" t="s">
        <v>19</v>
      </c>
      <c r="G19" s="22">
        <f t="shared" si="0"/>
        <v>462</v>
      </c>
      <c r="H19" s="22">
        <f t="shared" si="1"/>
        <v>88</v>
      </c>
      <c r="I19" s="22">
        <v>0</v>
      </c>
      <c r="J19" s="22">
        <v>550</v>
      </c>
      <c r="K19" s="18"/>
      <c r="N19" s="14">
        <v>45850</v>
      </c>
      <c r="O19" s="15" t="s">
        <v>70</v>
      </c>
      <c r="P19" s="15" t="s">
        <v>8</v>
      </c>
      <c r="Q19" s="15" t="s">
        <v>14</v>
      </c>
      <c r="R19" s="17">
        <f t="shared" si="2"/>
        <v>2184</v>
      </c>
      <c r="S19" s="17">
        <f t="shared" si="3"/>
        <v>416</v>
      </c>
      <c r="T19" s="17">
        <v>2600</v>
      </c>
      <c r="U19" s="18"/>
    </row>
    <row r="20" spans="1:22">
      <c r="A20" s="14">
        <v>45814</v>
      </c>
      <c r="B20" s="15" t="s">
        <v>29</v>
      </c>
      <c r="C20" s="15" t="s">
        <v>99</v>
      </c>
      <c r="D20" s="16" t="s">
        <v>30</v>
      </c>
      <c r="E20" s="15" t="s">
        <v>8</v>
      </c>
      <c r="F20" s="15" t="s">
        <v>19</v>
      </c>
      <c r="G20" s="17">
        <f t="shared" si="0"/>
        <v>210</v>
      </c>
      <c r="H20" s="17">
        <f t="shared" si="1"/>
        <v>40</v>
      </c>
      <c r="I20" s="17">
        <v>0</v>
      </c>
      <c r="J20" s="17">
        <v>250</v>
      </c>
      <c r="K20" s="18"/>
      <c r="N20" s="19">
        <v>45851</v>
      </c>
      <c r="O20" s="20" t="s">
        <v>60</v>
      </c>
      <c r="P20" s="20" t="s">
        <v>8</v>
      </c>
      <c r="Q20" s="20" t="s">
        <v>14</v>
      </c>
      <c r="R20" s="22">
        <f t="shared" si="2"/>
        <v>2184</v>
      </c>
      <c r="S20" s="22">
        <f t="shared" si="3"/>
        <v>416</v>
      </c>
      <c r="T20" s="22">
        <v>2600</v>
      </c>
      <c r="U20" s="18"/>
    </row>
    <row r="21" spans="1:22">
      <c r="A21" s="19">
        <v>45815</v>
      </c>
      <c r="B21" s="20" t="s">
        <v>12</v>
      </c>
      <c r="C21" s="20" t="s">
        <v>91</v>
      </c>
      <c r="D21" s="21"/>
      <c r="E21" s="20" t="s">
        <v>8</v>
      </c>
      <c r="F21" s="20" t="s">
        <v>19</v>
      </c>
      <c r="G21" s="22">
        <f t="shared" si="0"/>
        <v>504</v>
      </c>
      <c r="H21" s="22">
        <f t="shared" si="1"/>
        <v>96</v>
      </c>
      <c r="I21" s="22">
        <v>0</v>
      </c>
      <c r="J21" s="22">
        <v>600</v>
      </c>
      <c r="K21" s="18"/>
      <c r="N21" s="14">
        <v>45852</v>
      </c>
      <c r="O21" s="15" t="s">
        <v>71</v>
      </c>
      <c r="P21" s="15" t="s">
        <v>84</v>
      </c>
      <c r="Q21" s="15" t="s">
        <v>14</v>
      </c>
      <c r="R21" s="17">
        <f t="shared" si="2"/>
        <v>252</v>
      </c>
      <c r="S21" s="17">
        <f t="shared" si="3"/>
        <v>48</v>
      </c>
      <c r="T21" s="17">
        <v>300</v>
      </c>
      <c r="U21" s="18"/>
    </row>
    <row r="22" spans="1:22">
      <c r="A22" s="14">
        <v>45816</v>
      </c>
      <c r="B22" s="15" t="s">
        <v>31</v>
      </c>
      <c r="C22" s="15" t="s">
        <v>16</v>
      </c>
      <c r="D22" s="16"/>
      <c r="E22" s="15" t="s">
        <v>8</v>
      </c>
      <c r="F22" s="15" t="s">
        <v>19</v>
      </c>
      <c r="G22" s="17">
        <f t="shared" si="0"/>
        <v>462</v>
      </c>
      <c r="H22" s="17">
        <f t="shared" si="1"/>
        <v>88</v>
      </c>
      <c r="I22" s="17">
        <v>0</v>
      </c>
      <c r="J22" s="17">
        <v>550</v>
      </c>
      <c r="K22" s="18"/>
      <c r="N22" s="19">
        <v>45853</v>
      </c>
      <c r="O22" s="20" t="s">
        <v>72</v>
      </c>
      <c r="P22" s="20" t="s">
        <v>8</v>
      </c>
      <c r="Q22" s="20" t="s">
        <v>14</v>
      </c>
      <c r="R22" s="22">
        <f t="shared" si="2"/>
        <v>2100</v>
      </c>
      <c r="S22" s="22">
        <f t="shared" si="3"/>
        <v>400</v>
      </c>
      <c r="T22" s="22">
        <v>2500</v>
      </c>
      <c r="U22" s="18"/>
    </row>
    <row r="23" spans="1:22">
      <c r="A23" s="19">
        <v>45817</v>
      </c>
      <c r="B23" s="20" t="s">
        <v>31</v>
      </c>
      <c r="C23" s="20" t="s">
        <v>93</v>
      </c>
      <c r="D23" s="21" t="s">
        <v>32</v>
      </c>
      <c r="E23" s="20" t="s">
        <v>8</v>
      </c>
      <c r="F23" s="20" t="s">
        <v>19</v>
      </c>
      <c r="G23" s="22">
        <f t="shared" si="0"/>
        <v>462</v>
      </c>
      <c r="H23" s="22">
        <f t="shared" si="1"/>
        <v>88</v>
      </c>
      <c r="I23" s="22">
        <v>0</v>
      </c>
      <c r="J23" s="22">
        <v>550</v>
      </c>
      <c r="K23" s="18"/>
    </row>
    <row r="24" spans="1:22">
      <c r="A24" s="14">
        <v>45818</v>
      </c>
      <c r="B24" s="15" t="s">
        <v>31</v>
      </c>
      <c r="C24" s="15" t="s">
        <v>93</v>
      </c>
      <c r="D24" s="16" t="s">
        <v>33</v>
      </c>
      <c r="E24" s="15" t="s">
        <v>8</v>
      </c>
      <c r="F24" s="15" t="s">
        <v>19</v>
      </c>
      <c r="G24" s="17">
        <f t="shared" si="0"/>
        <v>504</v>
      </c>
      <c r="H24" s="17">
        <f t="shared" si="1"/>
        <v>96</v>
      </c>
      <c r="I24" s="17">
        <v>0</v>
      </c>
      <c r="J24" s="17">
        <v>600</v>
      </c>
      <c r="K24" s="18"/>
    </row>
    <row r="25" spans="1:22">
      <c r="A25" s="19">
        <v>45819</v>
      </c>
      <c r="B25" s="20" t="s">
        <v>35</v>
      </c>
      <c r="C25" s="20" t="s">
        <v>93</v>
      </c>
      <c r="D25" s="21"/>
      <c r="E25" s="20" t="s">
        <v>8</v>
      </c>
      <c r="F25" s="20" t="s">
        <v>19</v>
      </c>
      <c r="G25" s="22">
        <f t="shared" si="0"/>
        <v>168</v>
      </c>
      <c r="H25" s="22">
        <f t="shared" si="1"/>
        <v>32</v>
      </c>
      <c r="I25" s="22">
        <v>0</v>
      </c>
      <c r="J25" s="22">
        <v>200</v>
      </c>
      <c r="K25" s="18"/>
      <c r="N25" s="29"/>
      <c r="O25" s="29"/>
      <c r="P25" s="29"/>
      <c r="Q25" s="29"/>
      <c r="R25" s="29"/>
      <c r="S25" s="29"/>
      <c r="T25" s="29"/>
      <c r="U25" s="29"/>
      <c r="V25" s="29"/>
    </row>
    <row r="26" spans="1:22">
      <c r="A26" s="14">
        <v>45820</v>
      </c>
      <c r="B26" s="15" t="s">
        <v>25</v>
      </c>
      <c r="C26" s="15" t="s">
        <v>93</v>
      </c>
      <c r="D26" s="16" t="s">
        <v>33</v>
      </c>
      <c r="E26" s="15" t="s">
        <v>8</v>
      </c>
      <c r="F26" s="15" t="s">
        <v>19</v>
      </c>
      <c r="G26" s="17">
        <f t="shared" si="0"/>
        <v>504</v>
      </c>
      <c r="H26" s="17">
        <f t="shared" si="1"/>
        <v>96</v>
      </c>
      <c r="I26" s="17">
        <v>0</v>
      </c>
      <c r="J26" s="17">
        <v>600</v>
      </c>
      <c r="K26" s="18"/>
      <c r="N26" s="29"/>
      <c r="O26" s="29"/>
      <c r="P26" s="29"/>
      <c r="Q26" s="29"/>
      <c r="R26" s="29"/>
      <c r="S26" s="29"/>
      <c r="T26" s="29"/>
      <c r="U26" s="29"/>
      <c r="V26" s="29"/>
    </row>
    <row r="27" spans="1:22">
      <c r="A27" s="19">
        <v>45821</v>
      </c>
      <c r="B27" s="20" t="s">
        <v>44</v>
      </c>
      <c r="C27" s="20" t="s">
        <v>16</v>
      </c>
      <c r="D27" s="21"/>
      <c r="E27" s="20" t="s">
        <v>84</v>
      </c>
      <c r="F27" s="20" t="s">
        <v>85</v>
      </c>
      <c r="G27" s="22">
        <f t="shared" si="0"/>
        <v>462</v>
      </c>
      <c r="H27" s="22">
        <f t="shared" si="1"/>
        <v>88</v>
      </c>
      <c r="I27" s="22">
        <v>0</v>
      </c>
      <c r="J27" s="22">
        <v>550</v>
      </c>
      <c r="K27" s="18"/>
      <c r="N27" s="30"/>
      <c r="O27" s="31"/>
      <c r="P27" s="31"/>
      <c r="Q27" s="31"/>
      <c r="R27" s="32"/>
      <c r="S27" s="32"/>
      <c r="T27" s="32"/>
      <c r="U27" s="31"/>
      <c r="V27" s="29"/>
    </row>
    <row r="28" spans="1:22">
      <c r="A28" s="14">
        <v>45822</v>
      </c>
      <c r="B28" s="15" t="s">
        <v>45</v>
      </c>
      <c r="C28" s="15" t="s">
        <v>88</v>
      </c>
      <c r="D28" s="16"/>
      <c r="E28" s="15" t="s">
        <v>8</v>
      </c>
      <c r="F28" s="20" t="s">
        <v>85</v>
      </c>
      <c r="G28" s="17">
        <f t="shared" si="0"/>
        <v>504</v>
      </c>
      <c r="H28" s="17">
        <f t="shared" si="1"/>
        <v>96</v>
      </c>
      <c r="I28" s="17"/>
      <c r="J28" s="17">
        <v>600</v>
      </c>
      <c r="K28" s="18"/>
      <c r="N28" s="30"/>
      <c r="O28" s="31"/>
      <c r="P28" s="31"/>
      <c r="Q28" s="31"/>
      <c r="R28" s="32"/>
      <c r="S28" s="32"/>
      <c r="T28" s="32"/>
      <c r="U28" s="31"/>
      <c r="V28" s="29"/>
    </row>
    <row r="29" spans="1:22" ht="30">
      <c r="A29" s="19">
        <v>45823</v>
      </c>
      <c r="B29" s="20" t="s">
        <v>25</v>
      </c>
      <c r="C29" s="20" t="s">
        <v>93</v>
      </c>
      <c r="D29" s="21" t="s">
        <v>46</v>
      </c>
      <c r="E29" s="20" t="s">
        <v>8</v>
      </c>
      <c r="F29" s="20" t="s">
        <v>19</v>
      </c>
      <c r="G29" s="22">
        <f t="shared" si="0"/>
        <v>462</v>
      </c>
      <c r="H29" s="22">
        <f t="shared" si="1"/>
        <v>88</v>
      </c>
      <c r="I29" s="22">
        <v>50</v>
      </c>
      <c r="J29" s="22">
        <v>550</v>
      </c>
      <c r="K29" s="18"/>
      <c r="N29" s="30"/>
      <c r="O29" s="31"/>
      <c r="P29" s="31"/>
      <c r="Q29" s="31"/>
      <c r="R29" s="32"/>
      <c r="S29" s="32"/>
      <c r="T29" s="32"/>
      <c r="U29" s="31"/>
      <c r="V29" s="29"/>
    </row>
    <row r="30" spans="1:22">
      <c r="A30" s="14">
        <v>45824</v>
      </c>
      <c r="B30" s="15" t="s">
        <v>47</v>
      </c>
      <c r="C30" s="15" t="s">
        <v>16</v>
      </c>
      <c r="D30" s="16"/>
      <c r="E30" s="15" t="s">
        <v>8</v>
      </c>
      <c r="F30" s="20" t="s">
        <v>19</v>
      </c>
      <c r="G30" s="17">
        <f t="shared" si="0"/>
        <v>520.79999999999995</v>
      </c>
      <c r="H30" s="17">
        <f t="shared" si="1"/>
        <v>99.2</v>
      </c>
      <c r="I30" s="17"/>
      <c r="J30" s="17">
        <v>620</v>
      </c>
      <c r="K30" s="18"/>
      <c r="N30" s="30"/>
      <c r="O30" s="31"/>
      <c r="P30" s="31"/>
      <c r="Q30" s="31"/>
      <c r="R30" s="32"/>
      <c r="S30" s="32"/>
      <c r="T30" s="32"/>
      <c r="U30" s="31"/>
      <c r="V30" s="29"/>
    </row>
    <row r="31" spans="1:22">
      <c r="A31" s="19">
        <v>45825</v>
      </c>
      <c r="B31" s="20" t="s">
        <v>48</v>
      </c>
      <c r="C31" s="20" t="s">
        <v>16</v>
      </c>
      <c r="D31" s="21"/>
      <c r="E31" s="20" t="s">
        <v>84</v>
      </c>
      <c r="F31" s="20" t="s">
        <v>85</v>
      </c>
      <c r="G31" s="22">
        <f t="shared" si="0"/>
        <v>462</v>
      </c>
      <c r="H31" s="22">
        <f t="shared" si="1"/>
        <v>88</v>
      </c>
      <c r="I31" s="22"/>
      <c r="J31" s="22">
        <v>550</v>
      </c>
      <c r="K31" s="18"/>
      <c r="N31" s="30"/>
      <c r="O31" s="31"/>
      <c r="P31" s="31"/>
      <c r="Q31" s="31"/>
      <c r="R31" s="32"/>
      <c r="S31" s="32"/>
      <c r="T31" s="32"/>
      <c r="U31" s="31"/>
      <c r="V31" s="29"/>
    </row>
    <row r="32" spans="1:22">
      <c r="A32" s="14">
        <v>45826</v>
      </c>
      <c r="B32" s="15" t="s">
        <v>49</v>
      </c>
      <c r="C32" s="15" t="s">
        <v>99</v>
      </c>
      <c r="D32" s="16"/>
      <c r="E32" s="15" t="s">
        <v>84</v>
      </c>
      <c r="F32" s="15" t="s">
        <v>19</v>
      </c>
      <c r="G32" s="17">
        <f t="shared" si="0"/>
        <v>462</v>
      </c>
      <c r="H32" s="17">
        <f t="shared" si="1"/>
        <v>88</v>
      </c>
      <c r="I32" s="17"/>
      <c r="J32" s="17">
        <v>550</v>
      </c>
      <c r="K32" s="18"/>
      <c r="N32" s="30"/>
      <c r="O32" s="31"/>
      <c r="P32" s="31"/>
      <c r="Q32" s="31"/>
      <c r="R32" s="32"/>
      <c r="S32" s="32"/>
      <c r="T32" s="32"/>
      <c r="U32" s="31"/>
      <c r="V32" s="29"/>
    </row>
    <row r="33" spans="1:22">
      <c r="A33" s="19">
        <v>45827</v>
      </c>
      <c r="B33" s="20" t="s">
        <v>52</v>
      </c>
      <c r="C33" s="20" t="s">
        <v>98</v>
      </c>
      <c r="D33" s="21" t="s">
        <v>51</v>
      </c>
      <c r="E33" s="20" t="s">
        <v>8</v>
      </c>
      <c r="F33" s="20" t="s">
        <v>19</v>
      </c>
      <c r="G33" s="22">
        <f t="shared" si="0"/>
        <v>2100</v>
      </c>
      <c r="H33" s="22">
        <f t="shared" si="1"/>
        <v>400</v>
      </c>
      <c r="I33" s="22"/>
      <c r="J33" s="22">
        <v>2500</v>
      </c>
      <c r="K33" s="18"/>
      <c r="N33" s="30"/>
      <c r="O33" s="31"/>
      <c r="P33" s="31"/>
      <c r="Q33" s="31"/>
      <c r="R33" s="32"/>
      <c r="S33" s="32"/>
      <c r="T33" s="32"/>
      <c r="U33" s="31"/>
      <c r="V33" s="29"/>
    </row>
    <row r="34" spans="1:22">
      <c r="A34" s="14">
        <v>45828</v>
      </c>
      <c r="B34" s="15" t="s">
        <v>53</v>
      </c>
      <c r="C34" s="15" t="s">
        <v>98</v>
      </c>
      <c r="D34" s="16"/>
      <c r="E34" s="15" t="s">
        <v>8</v>
      </c>
      <c r="F34" s="15" t="s">
        <v>19</v>
      </c>
      <c r="G34" s="17">
        <f t="shared" si="0"/>
        <v>504</v>
      </c>
      <c r="H34" s="17">
        <f t="shared" si="1"/>
        <v>96</v>
      </c>
      <c r="I34" s="17"/>
      <c r="J34" s="17">
        <v>600</v>
      </c>
      <c r="K34" s="18"/>
      <c r="N34" s="30"/>
      <c r="O34" s="31"/>
      <c r="P34" s="31"/>
      <c r="Q34" s="31"/>
      <c r="R34" s="32"/>
      <c r="S34" s="32"/>
      <c r="T34" s="32"/>
      <c r="U34" s="31"/>
      <c r="V34" s="29"/>
    </row>
    <row r="35" spans="1:22">
      <c r="A35" s="19">
        <v>45829</v>
      </c>
      <c r="B35" s="20" t="s">
        <v>54</v>
      </c>
      <c r="C35" s="20" t="s">
        <v>99</v>
      </c>
      <c r="D35" s="21" t="s">
        <v>59</v>
      </c>
      <c r="E35" s="20" t="s">
        <v>8</v>
      </c>
      <c r="F35" s="20" t="s">
        <v>13</v>
      </c>
      <c r="G35" s="22">
        <f t="shared" si="0"/>
        <v>294</v>
      </c>
      <c r="H35" s="22">
        <f t="shared" si="1"/>
        <v>56</v>
      </c>
      <c r="I35" s="22"/>
      <c r="J35" s="22">
        <v>350</v>
      </c>
      <c r="K35" s="18"/>
      <c r="N35" s="30"/>
      <c r="O35" s="31"/>
      <c r="P35" s="31"/>
      <c r="Q35" s="31"/>
      <c r="R35" s="32"/>
      <c r="S35" s="32"/>
      <c r="T35" s="32"/>
      <c r="U35" s="31"/>
      <c r="V35" s="29"/>
    </row>
    <row r="36" spans="1:22">
      <c r="A36" s="14">
        <v>45830</v>
      </c>
      <c r="B36" s="15" t="s">
        <v>55</v>
      </c>
      <c r="C36" s="15" t="s">
        <v>16</v>
      </c>
      <c r="D36" s="16"/>
      <c r="E36" s="15" t="s">
        <v>8</v>
      </c>
      <c r="F36" s="15" t="s">
        <v>19</v>
      </c>
      <c r="G36" s="17">
        <f t="shared" si="0"/>
        <v>462</v>
      </c>
      <c r="H36" s="17">
        <f t="shared" si="1"/>
        <v>88</v>
      </c>
      <c r="I36" s="17"/>
      <c r="J36" s="17">
        <v>550</v>
      </c>
      <c r="K36" s="18"/>
      <c r="N36" s="30"/>
      <c r="O36" s="31"/>
      <c r="P36" s="31"/>
      <c r="Q36" s="31"/>
      <c r="R36" s="32"/>
      <c r="S36" s="32"/>
      <c r="T36" s="32"/>
      <c r="U36" s="31"/>
      <c r="V36" s="29"/>
    </row>
    <row r="37" spans="1:22">
      <c r="A37" s="19">
        <v>45831</v>
      </c>
      <c r="B37" s="20" t="s">
        <v>56</v>
      </c>
      <c r="C37" s="20" t="s">
        <v>16</v>
      </c>
      <c r="D37" s="21"/>
      <c r="E37" s="20" t="s">
        <v>8</v>
      </c>
      <c r="F37" s="20" t="s">
        <v>19</v>
      </c>
      <c r="G37" s="22">
        <f t="shared" si="0"/>
        <v>462</v>
      </c>
      <c r="H37" s="22">
        <f t="shared" si="1"/>
        <v>88</v>
      </c>
      <c r="I37" s="22"/>
      <c r="J37" s="22">
        <v>550</v>
      </c>
      <c r="K37" s="18"/>
      <c r="N37" s="30"/>
      <c r="O37" s="31"/>
      <c r="P37" s="31"/>
      <c r="Q37" s="31"/>
      <c r="R37" s="32"/>
      <c r="S37" s="32"/>
      <c r="T37" s="32"/>
      <c r="U37" s="31"/>
      <c r="V37" s="29"/>
    </row>
    <row r="38" spans="1:22">
      <c r="A38" s="14">
        <v>45832</v>
      </c>
      <c r="B38" s="15" t="s">
        <v>57</v>
      </c>
      <c r="C38" s="15" t="s">
        <v>99</v>
      </c>
      <c r="D38" s="16" t="s">
        <v>59</v>
      </c>
      <c r="E38" s="15" t="s">
        <v>8</v>
      </c>
      <c r="F38" s="15" t="s">
        <v>19</v>
      </c>
      <c r="G38" s="17">
        <f t="shared" si="0"/>
        <v>294</v>
      </c>
      <c r="H38" s="17">
        <f t="shared" si="1"/>
        <v>56</v>
      </c>
      <c r="I38" s="17"/>
      <c r="J38" s="17">
        <v>350</v>
      </c>
      <c r="K38" s="18"/>
      <c r="N38" s="30"/>
      <c r="O38" s="31"/>
      <c r="P38" s="31"/>
      <c r="Q38" s="31"/>
      <c r="R38" s="32"/>
      <c r="S38" s="32"/>
      <c r="T38" s="32"/>
      <c r="U38" s="31"/>
      <c r="V38" s="29"/>
    </row>
    <row r="39" spans="1:22">
      <c r="A39" s="19">
        <v>45833</v>
      </c>
      <c r="B39" s="20" t="s">
        <v>15</v>
      </c>
      <c r="C39" s="20" t="s">
        <v>58</v>
      </c>
      <c r="D39" s="21"/>
      <c r="E39" s="20" t="s">
        <v>84</v>
      </c>
      <c r="F39" s="20" t="s">
        <v>13</v>
      </c>
      <c r="G39" s="22">
        <f t="shared" si="0"/>
        <v>588</v>
      </c>
      <c r="H39" s="22">
        <f t="shared" si="1"/>
        <v>112</v>
      </c>
      <c r="I39" s="22"/>
      <c r="J39" s="22">
        <v>700</v>
      </c>
      <c r="K39" s="18"/>
      <c r="N39" s="30"/>
      <c r="O39" s="31"/>
      <c r="P39" s="31"/>
      <c r="Q39" s="31"/>
      <c r="R39" s="32"/>
      <c r="S39" s="32"/>
      <c r="T39" s="32"/>
      <c r="U39" s="31"/>
      <c r="V39" s="29"/>
    </row>
    <row r="40" spans="1:22">
      <c r="A40" s="19">
        <v>45835</v>
      </c>
      <c r="B40" s="20" t="s">
        <v>61</v>
      </c>
      <c r="C40" s="20" t="s">
        <v>98</v>
      </c>
      <c r="D40" s="21"/>
      <c r="E40" s="20" t="s">
        <v>8</v>
      </c>
      <c r="F40" s="20" t="s">
        <v>19</v>
      </c>
      <c r="G40" s="22">
        <f t="shared" ref="G40:G51" si="4">J40-H40</f>
        <v>840</v>
      </c>
      <c r="H40" s="22">
        <f t="shared" ref="H40:H51" si="5">J40*0.16</f>
        <v>160</v>
      </c>
      <c r="I40" s="22"/>
      <c r="J40" s="22">
        <v>1000</v>
      </c>
      <c r="K40" s="18"/>
      <c r="N40" s="29"/>
      <c r="O40" s="29"/>
      <c r="P40" s="29"/>
      <c r="Q40" s="29"/>
      <c r="R40" s="29"/>
      <c r="S40" s="29"/>
      <c r="T40" s="29"/>
      <c r="U40" s="29"/>
      <c r="V40" s="29"/>
    </row>
    <row r="41" spans="1:22">
      <c r="A41" s="14">
        <v>45836</v>
      </c>
      <c r="B41" s="15" t="s">
        <v>62</v>
      </c>
      <c r="C41" s="15" t="s">
        <v>98</v>
      </c>
      <c r="D41" s="16"/>
      <c r="E41" s="15" t="s">
        <v>8</v>
      </c>
      <c r="F41" s="15" t="s">
        <v>19</v>
      </c>
      <c r="G41" s="17">
        <f t="shared" si="4"/>
        <v>840</v>
      </c>
      <c r="H41" s="17">
        <f t="shared" si="5"/>
        <v>160</v>
      </c>
      <c r="I41" s="17"/>
      <c r="J41" s="17">
        <v>1000</v>
      </c>
      <c r="K41" s="18"/>
      <c r="N41" s="29"/>
      <c r="O41" s="29"/>
      <c r="P41" s="29"/>
      <c r="Q41" s="29"/>
      <c r="R41" s="29"/>
      <c r="S41" s="29"/>
      <c r="T41" s="29"/>
      <c r="U41" s="29"/>
      <c r="V41" s="29"/>
    </row>
    <row r="42" spans="1:22">
      <c r="A42" s="19">
        <v>45837</v>
      </c>
      <c r="B42" s="20" t="s">
        <v>20</v>
      </c>
      <c r="C42" s="20" t="s">
        <v>92</v>
      </c>
      <c r="D42" s="21"/>
      <c r="E42" s="20" t="s">
        <v>8</v>
      </c>
      <c r="F42" s="20" t="s">
        <v>19</v>
      </c>
      <c r="G42" s="22">
        <f t="shared" si="4"/>
        <v>630</v>
      </c>
      <c r="H42" s="22">
        <f t="shared" si="5"/>
        <v>120</v>
      </c>
      <c r="I42" s="22"/>
      <c r="J42" s="22">
        <v>750</v>
      </c>
      <c r="K42" s="18"/>
      <c r="N42" s="29"/>
      <c r="O42" s="29"/>
      <c r="P42" s="29"/>
      <c r="Q42" s="29"/>
      <c r="R42" s="29"/>
      <c r="S42" s="29"/>
      <c r="T42" s="29"/>
      <c r="U42" s="29"/>
      <c r="V42" s="29"/>
    </row>
    <row r="43" spans="1:22">
      <c r="A43" s="14">
        <v>45838</v>
      </c>
      <c r="B43" s="15" t="s">
        <v>18</v>
      </c>
      <c r="C43" s="15" t="s">
        <v>16</v>
      </c>
      <c r="D43" s="16"/>
      <c r="E43" s="15" t="s">
        <v>84</v>
      </c>
      <c r="F43" s="15" t="s">
        <v>19</v>
      </c>
      <c r="G43" s="17">
        <f t="shared" si="4"/>
        <v>462</v>
      </c>
      <c r="H43" s="17">
        <f t="shared" si="5"/>
        <v>88</v>
      </c>
      <c r="I43" s="17"/>
      <c r="J43" s="17">
        <v>550</v>
      </c>
      <c r="K43" s="18"/>
      <c r="N43" s="29"/>
      <c r="O43" s="29"/>
      <c r="P43" s="29"/>
      <c r="Q43" s="29"/>
      <c r="R43" s="29"/>
      <c r="S43" s="29"/>
      <c r="T43" s="29"/>
      <c r="U43" s="29"/>
      <c r="V43" s="29"/>
    </row>
    <row r="44" spans="1:22" ht="30">
      <c r="A44" s="14">
        <v>45842</v>
      </c>
      <c r="B44" s="15" t="s">
        <v>67</v>
      </c>
      <c r="C44" s="15" t="s">
        <v>93</v>
      </c>
      <c r="D44" s="16" t="s">
        <v>46</v>
      </c>
      <c r="E44" s="15" t="s">
        <v>8</v>
      </c>
      <c r="F44" s="15" t="s">
        <v>19</v>
      </c>
      <c r="G44" s="17">
        <f t="shared" si="4"/>
        <v>504</v>
      </c>
      <c r="H44" s="17">
        <f t="shared" si="5"/>
        <v>96</v>
      </c>
      <c r="I44" s="17"/>
      <c r="J44" s="17">
        <v>600</v>
      </c>
      <c r="K44" s="18"/>
    </row>
    <row r="45" spans="1:22">
      <c r="A45" s="19">
        <v>45843</v>
      </c>
      <c r="B45" s="20" t="s">
        <v>18</v>
      </c>
      <c r="C45" s="20" t="s">
        <v>99</v>
      </c>
      <c r="D45" s="21"/>
      <c r="E45" s="20" t="s">
        <v>8</v>
      </c>
      <c r="F45" s="20" t="s">
        <v>19</v>
      </c>
      <c r="G45" s="22">
        <f t="shared" si="4"/>
        <v>840</v>
      </c>
      <c r="H45" s="22">
        <f t="shared" si="5"/>
        <v>160</v>
      </c>
      <c r="I45" s="22"/>
      <c r="J45" s="22">
        <v>1000</v>
      </c>
      <c r="K45" s="18"/>
    </row>
    <row r="46" spans="1:22">
      <c r="A46" s="14">
        <v>45844</v>
      </c>
      <c r="B46" s="15" t="s">
        <v>55</v>
      </c>
      <c r="C46" s="15" t="s">
        <v>93</v>
      </c>
      <c r="D46" s="16" t="s">
        <v>27</v>
      </c>
      <c r="E46" s="15" t="s">
        <v>8</v>
      </c>
      <c r="F46" s="15" t="s">
        <v>13</v>
      </c>
      <c r="G46" s="17">
        <f t="shared" si="4"/>
        <v>462</v>
      </c>
      <c r="H46" s="17">
        <f t="shared" si="5"/>
        <v>88</v>
      </c>
      <c r="I46" s="17"/>
      <c r="J46" s="17">
        <v>550</v>
      </c>
      <c r="K46" s="18"/>
    </row>
    <row r="47" spans="1:22">
      <c r="A47" s="19">
        <v>45845</v>
      </c>
      <c r="B47" s="20" t="s">
        <v>68</v>
      </c>
      <c r="C47" s="20" t="s">
        <v>16</v>
      </c>
      <c r="D47" s="21"/>
      <c r="E47" s="20" t="s">
        <v>8</v>
      </c>
      <c r="F47" s="20" t="s">
        <v>19</v>
      </c>
      <c r="G47" s="22">
        <f t="shared" si="4"/>
        <v>462</v>
      </c>
      <c r="H47" s="22">
        <f t="shared" si="5"/>
        <v>88</v>
      </c>
      <c r="I47" s="22"/>
      <c r="J47" s="22">
        <v>550</v>
      </c>
      <c r="K47" s="18"/>
    </row>
    <row r="48" spans="1:22">
      <c r="A48" s="14">
        <v>45846</v>
      </c>
      <c r="B48" s="15" t="s">
        <v>44</v>
      </c>
      <c r="C48" s="15" t="s">
        <v>16</v>
      </c>
      <c r="D48" s="16"/>
      <c r="E48" s="15" t="s">
        <v>8</v>
      </c>
      <c r="F48" s="15" t="s">
        <v>19</v>
      </c>
      <c r="G48" s="17">
        <f t="shared" si="4"/>
        <v>462</v>
      </c>
      <c r="H48" s="17">
        <f t="shared" si="5"/>
        <v>88</v>
      </c>
      <c r="I48" s="17"/>
      <c r="J48" s="17">
        <v>550</v>
      </c>
      <c r="K48" s="18"/>
    </row>
    <row r="49" spans="1:21">
      <c r="A49" s="19">
        <v>45847</v>
      </c>
      <c r="B49" s="20" t="s">
        <v>69</v>
      </c>
      <c r="C49" s="20" t="s">
        <v>88</v>
      </c>
      <c r="D49" s="21"/>
      <c r="E49" s="20" t="s">
        <v>84</v>
      </c>
      <c r="F49" s="20" t="s">
        <v>13</v>
      </c>
      <c r="G49" s="22">
        <f t="shared" si="4"/>
        <v>588</v>
      </c>
      <c r="H49" s="22">
        <f t="shared" si="5"/>
        <v>112</v>
      </c>
      <c r="I49" s="22"/>
      <c r="J49" s="22">
        <v>700</v>
      </c>
      <c r="K49" s="18"/>
    </row>
    <row r="50" spans="1:21" ht="30">
      <c r="A50" s="14">
        <v>45848</v>
      </c>
      <c r="B50" s="15"/>
      <c r="C50" s="15" t="s">
        <v>93</v>
      </c>
      <c r="D50" s="16" t="s">
        <v>46</v>
      </c>
      <c r="E50" s="15" t="s">
        <v>84</v>
      </c>
      <c r="F50" s="15" t="s">
        <v>13</v>
      </c>
      <c r="G50" s="17">
        <f t="shared" si="4"/>
        <v>504</v>
      </c>
      <c r="H50" s="17">
        <f t="shared" si="5"/>
        <v>96</v>
      </c>
      <c r="I50" s="17"/>
      <c r="J50" s="17">
        <v>600</v>
      </c>
      <c r="K50" s="18"/>
      <c r="N50" s="30"/>
      <c r="O50" s="31"/>
      <c r="P50" s="31"/>
      <c r="Q50" s="31"/>
      <c r="R50" s="32"/>
      <c r="S50" s="32"/>
      <c r="T50" s="32"/>
      <c r="U50" s="31"/>
    </row>
    <row r="51" spans="1:21">
      <c r="A51" s="19">
        <v>45849</v>
      </c>
      <c r="B51" s="20"/>
      <c r="C51" s="20" t="s">
        <v>93</v>
      </c>
      <c r="D51" s="21" t="s">
        <v>32</v>
      </c>
      <c r="E51" s="20" t="s">
        <v>84</v>
      </c>
      <c r="F51" s="20" t="s">
        <v>13</v>
      </c>
      <c r="G51" s="22">
        <f t="shared" si="4"/>
        <v>420</v>
      </c>
      <c r="H51" s="22">
        <f t="shared" si="5"/>
        <v>80</v>
      </c>
      <c r="I51" s="22"/>
      <c r="J51" s="22">
        <v>500</v>
      </c>
      <c r="K51" s="18"/>
      <c r="N51" s="30"/>
      <c r="O51" s="31"/>
      <c r="P51" s="31"/>
      <c r="Q51" s="31"/>
      <c r="R51" s="32"/>
      <c r="S51" s="32"/>
      <c r="T51" s="32"/>
      <c r="U51" s="31"/>
    </row>
    <row r="52" spans="1:21">
      <c r="N52" s="30"/>
      <c r="O52" s="31"/>
      <c r="P52" s="31"/>
      <c r="Q52" s="31"/>
      <c r="R52" s="32"/>
      <c r="S52" s="32"/>
      <c r="T52" s="32"/>
      <c r="U52" s="31"/>
    </row>
    <row r="53" spans="1:21">
      <c r="N53" s="30"/>
      <c r="O53" s="31"/>
      <c r="P53" s="31"/>
      <c r="Q53" s="31"/>
      <c r="R53" s="32"/>
      <c r="S53" s="32"/>
      <c r="T53" s="32"/>
      <c r="U53" s="31"/>
    </row>
    <row r="54" spans="1:21">
      <c r="N54" s="30"/>
      <c r="O54" s="31"/>
      <c r="P54" s="31"/>
      <c r="Q54" s="31"/>
      <c r="R54" s="32"/>
      <c r="S54" s="32"/>
      <c r="T54" s="32"/>
      <c r="U54" s="31"/>
    </row>
    <row r="55" spans="1:21">
      <c r="N55" s="29"/>
      <c r="O55" s="29"/>
      <c r="P55" s="29"/>
      <c r="Q55" s="29"/>
      <c r="R55" s="29"/>
      <c r="S55" s="29"/>
      <c r="T55" s="29"/>
      <c r="U55" s="29"/>
    </row>
  </sheetData>
  <mergeCells count="4">
    <mergeCell ref="A6:B6"/>
    <mergeCell ref="D4:E4"/>
    <mergeCell ref="A14:K14"/>
    <mergeCell ref="N14:U14"/>
  </mergeCells>
  <dataValidations count="4">
    <dataValidation type="list" allowBlank="1" showInputMessage="1" showErrorMessage="1" sqref="E15 P15" xr:uid="{EBB12021-CA57-C347-A868-FD8DB44DE49C}">
      <formula1>"Efectivo, Transferencia, Tarjeta"</formula1>
    </dataValidation>
    <dataValidation type="list" allowBlank="1" showInputMessage="1" showErrorMessage="1" sqref="P50:P54 P16:P22 P27:P39 E16:E51" xr:uid="{8C5913A3-464A-654E-B239-5A42A5696F0B}">
      <formula1>"Efectivo,Transferencia,Tarjeta"</formula1>
    </dataValidation>
    <dataValidation type="list" allowBlank="1" showInputMessage="1" showErrorMessage="1" sqref="Q50:Q54 Q16:Q22 Q27:Q39 F16:F51" xr:uid="{062AF6DF-DDE4-0343-9DB1-267D068BB514}">
      <formula1>"BBVA Alo, Caja"</formula1>
    </dataValidation>
    <dataValidation type="list" allowBlank="1" showInputMessage="1" showErrorMessage="1" sqref="C16:C51" xr:uid="{CCD1EE18-2059-7143-AB22-AE6A03E49EC5}">
      <formula1>"Limpieza Profunda, Anti-acné, PRODUCTO, Depilación Láser, Facial despigmentante, Lifting facial, Dermapen, Otro"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6DEF6-4771-9B4D-9DBC-5FE88C80D152}">
  <dimension ref="A1:K58"/>
  <sheetViews>
    <sheetView topLeftCell="A13" workbookViewId="0">
      <selection activeCell="J28" sqref="J28"/>
    </sheetView>
  </sheetViews>
  <sheetFormatPr baseColWidth="10" defaultRowHeight="15"/>
  <cols>
    <col min="1" max="1" width="17.5" customWidth="1"/>
    <col min="2" max="2" width="17" customWidth="1"/>
    <col min="3" max="3" width="25.83203125" bestFit="1" customWidth="1"/>
    <col min="4" max="4" width="22.6640625" customWidth="1"/>
    <col min="5" max="5" width="17.6640625" customWidth="1"/>
    <col min="6" max="6" width="16.33203125" customWidth="1"/>
    <col min="7" max="7" width="26.6640625" customWidth="1"/>
    <col min="8" max="8" width="18.1640625" customWidth="1"/>
    <col min="9" max="9" width="19.6640625" customWidth="1"/>
    <col min="10" max="10" width="15.5" customWidth="1"/>
    <col min="11" max="11" width="34.33203125" customWidth="1"/>
  </cols>
  <sheetData>
    <row r="1" spans="1:11" ht="18">
      <c r="A1" s="10"/>
      <c r="B1" s="10"/>
      <c r="D1" s="95" t="s">
        <v>105</v>
      </c>
      <c r="E1" s="95"/>
      <c r="G1" s="38" t="s">
        <v>118</v>
      </c>
      <c r="H1" s="38"/>
    </row>
    <row r="2" spans="1:11" ht="16">
      <c r="A2" s="10"/>
      <c r="B2" s="10"/>
      <c r="D2" s="35" t="s">
        <v>106</v>
      </c>
      <c r="E2" s="36">
        <f>SUMIF(A$17:A$1040, "enero", J$17:J$1040)</f>
        <v>0</v>
      </c>
      <c r="G2" s="40" t="s">
        <v>26</v>
      </c>
      <c r="H2" s="39">
        <f>SUMIF(D$18:D$1041, "Limpiador", J$18:J$1041)</f>
        <v>1300</v>
      </c>
    </row>
    <row r="3" spans="1:11" ht="32">
      <c r="A3" s="10"/>
      <c r="B3" s="10"/>
      <c r="D3" s="35" t="s">
        <v>107</v>
      </c>
      <c r="E3" s="36">
        <f>SUMIF(A$17:A$1040, "febrero", J$17:J$1040)</f>
        <v>0</v>
      </c>
      <c r="G3" s="40" t="s">
        <v>120</v>
      </c>
      <c r="H3" s="39">
        <f>SUMIF(D$18:D$1041, "Serum renovage piel madura", J$18:J$1041)</f>
        <v>0</v>
      </c>
    </row>
    <row r="4" spans="1:11" ht="32">
      <c r="A4" s="10"/>
      <c r="B4" s="10"/>
      <c r="D4" s="35" t="s">
        <v>108</v>
      </c>
      <c r="E4" s="36">
        <f>SUMIF(A$17:A$1040, "marzo", J$17:J$1040)</f>
        <v>0</v>
      </c>
      <c r="G4" s="40" t="s">
        <v>38</v>
      </c>
      <c r="H4" s="39">
        <f>SUMIF(D$18:D$1041, "Antiage Silk y Roses contorno despigmentante", J$18:J$1041)</f>
        <v>0</v>
      </c>
    </row>
    <row r="5" spans="1:11" ht="16">
      <c r="A5" s="10"/>
      <c r="B5" s="10"/>
      <c r="D5" s="35" t="s">
        <v>109</v>
      </c>
      <c r="E5" s="36">
        <f>SUMIF(A$17:A$1040, "abril", J$17:J$1040)</f>
        <v>0</v>
      </c>
      <c r="G5" s="40" t="s">
        <v>39</v>
      </c>
      <c r="H5" s="39">
        <f>SUMIF(D$18:D$1041, "Fluido piel madura", J$18:J$1041)</f>
        <v>1050</v>
      </c>
    </row>
    <row r="6" spans="1:11" ht="32">
      <c r="A6" s="10"/>
      <c r="B6" s="10"/>
      <c r="D6" s="35" t="s">
        <v>110</v>
      </c>
      <c r="E6" s="36">
        <f>SUMIF(A$17:A$1040, "mayo", J$17:J$1040)</f>
        <v>0</v>
      </c>
      <c r="G6" s="40" t="s">
        <v>122</v>
      </c>
      <c r="H6" s="39">
        <f>SUMIF(D$18:D$1041, "Peroxido de benzolio y clindamicina", J$18:J$1041)</f>
        <v>1200</v>
      </c>
    </row>
    <row r="7" spans="1:11" ht="16">
      <c r="D7" s="35" t="s">
        <v>111</v>
      </c>
      <c r="E7" s="36">
        <f>SUMIF(A$17:A$1040, "junio", J$17:J$1040)</f>
        <v>4150</v>
      </c>
      <c r="G7" s="40" t="s">
        <v>40</v>
      </c>
      <c r="H7" s="39">
        <f>SUMIF(D$18:D$1041,"Desodorantesdealumbre",J$18:J$1041)</f>
        <v>0</v>
      </c>
    </row>
    <row r="8" spans="1:11" ht="32">
      <c r="A8" s="41" t="s">
        <v>104</v>
      </c>
      <c r="B8" s="42">
        <f>SUM(J:J)</f>
        <v>4150</v>
      </c>
      <c r="D8" s="35" t="s">
        <v>112</v>
      </c>
      <c r="E8" s="36">
        <f>SUMIF(A$17:A$1040, "julio", J$17:J$1040)</f>
        <v>0</v>
      </c>
      <c r="G8" s="40" t="s">
        <v>41</v>
      </c>
      <c r="H8" s="39">
        <f>SUMIF(D$18:D$1041, "Pantalla oil free despigmentante", J$18:J$1041)</f>
        <v>600</v>
      </c>
    </row>
    <row r="9" spans="1:11" ht="32">
      <c r="D9" s="35" t="s">
        <v>113</v>
      </c>
      <c r="E9" s="36">
        <f>SUMIF(A$17:A$1040, "agosto", J$17:J$1040)</f>
        <v>0</v>
      </c>
      <c r="G9" s="40" t="s">
        <v>42</v>
      </c>
      <c r="H9" s="39">
        <f>SUMIF(D$18:D$1041, "Pantalla oil free despigmentante", J$18:J$1041)</f>
        <v>600</v>
      </c>
    </row>
    <row r="10" spans="1:11" ht="16">
      <c r="B10" s="11"/>
      <c r="D10" s="37" t="s">
        <v>114</v>
      </c>
      <c r="E10" s="36">
        <f>SUMIF(A$17:A$1040, "septiembre", J$17:J$1040)</f>
        <v>0</v>
      </c>
      <c r="G10" s="40" t="s">
        <v>43</v>
      </c>
      <c r="H10" s="39">
        <f>SUMIF(D$18:D$1041, "Gel reafirmante facial", J$18:J$1041)</f>
        <v>0</v>
      </c>
    </row>
    <row r="11" spans="1:11">
      <c r="D11" s="37" t="s">
        <v>115</v>
      </c>
      <c r="E11" s="36">
        <f>SUMIF(A$17:A$1040, "octubre", J$17:J$1040)</f>
        <v>0</v>
      </c>
    </row>
    <row r="12" spans="1:11">
      <c r="D12" s="37" t="s">
        <v>116</v>
      </c>
      <c r="E12" s="36">
        <f>SUMIF(A$17:A$1040, "noviembre", J$17:J$1040)</f>
        <v>0</v>
      </c>
    </row>
    <row r="13" spans="1:11">
      <c r="D13" s="37" t="s">
        <v>117</v>
      </c>
      <c r="E13" s="36">
        <f>SUMIF(A$17:A$1040, "diciembre", J$17:J$1040)</f>
        <v>0</v>
      </c>
    </row>
    <row r="16" spans="1:11" ht="51">
      <c r="A16" s="93" t="s">
        <v>124</v>
      </c>
      <c r="B16" s="93"/>
      <c r="C16" s="93"/>
      <c r="D16" s="93"/>
      <c r="E16" s="93"/>
      <c r="F16" s="93"/>
      <c r="G16" s="93"/>
      <c r="H16" s="93"/>
      <c r="I16" s="93"/>
      <c r="J16" s="93"/>
      <c r="K16" s="93"/>
    </row>
    <row r="17" spans="1:11">
      <c r="A17" s="12" t="s">
        <v>0</v>
      </c>
      <c r="B17" s="12" t="s">
        <v>100</v>
      </c>
      <c r="C17" s="12" t="s">
        <v>78</v>
      </c>
      <c r="D17" s="12" t="s">
        <v>101</v>
      </c>
      <c r="E17" s="12" t="s">
        <v>79</v>
      </c>
      <c r="F17" s="12" t="s">
        <v>103</v>
      </c>
      <c r="G17" s="12" t="s">
        <v>2</v>
      </c>
      <c r="H17" s="12" t="s">
        <v>1</v>
      </c>
      <c r="I17" s="12" t="s">
        <v>3</v>
      </c>
      <c r="J17" s="12" t="s">
        <v>4</v>
      </c>
      <c r="K17" s="34" t="s">
        <v>102</v>
      </c>
    </row>
    <row r="18" spans="1:11">
      <c r="A18" s="43" t="s">
        <v>123</v>
      </c>
      <c r="B18" s="19">
        <v>45817</v>
      </c>
      <c r="C18" s="20" t="s">
        <v>31</v>
      </c>
      <c r="D18" s="21" t="s">
        <v>119</v>
      </c>
      <c r="E18" s="20" t="s">
        <v>8</v>
      </c>
      <c r="F18" s="20" t="s">
        <v>19</v>
      </c>
      <c r="G18" s="22">
        <f t="shared" ref="G18:G23" si="0">J18-H18</f>
        <v>462</v>
      </c>
      <c r="H18" s="22">
        <f t="shared" ref="H18:H23" si="1">J18*0.16</f>
        <v>88</v>
      </c>
      <c r="I18" s="22">
        <v>0</v>
      </c>
      <c r="J18" s="22">
        <f>550</f>
        <v>550</v>
      </c>
      <c r="K18" s="18"/>
    </row>
    <row r="19" spans="1:11" ht="30">
      <c r="A19" s="44" t="s">
        <v>123</v>
      </c>
      <c r="B19" s="14">
        <v>45818</v>
      </c>
      <c r="C19" s="15" t="s">
        <v>31</v>
      </c>
      <c r="D19" s="16" t="s">
        <v>122</v>
      </c>
      <c r="E19" s="15" t="s">
        <v>8</v>
      </c>
      <c r="F19" s="15" t="s">
        <v>19</v>
      </c>
      <c r="G19" s="17">
        <f t="shared" si="0"/>
        <v>504</v>
      </c>
      <c r="H19" s="17">
        <f t="shared" si="1"/>
        <v>96</v>
      </c>
      <c r="I19" s="17">
        <v>0</v>
      </c>
      <c r="J19" s="17">
        <f>600</f>
        <v>600</v>
      </c>
      <c r="K19" s="18"/>
    </row>
    <row r="20" spans="1:11">
      <c r="A20" s="43" t="s">
        <v>123</v>
      </c>
      <c r="B20" s="19">
        <v>45819</v>
      </c>
      <c r="C20" s="20" t="s">
        <v>35</v>
      </c>
      <c r="D20" s="21" t="s">
        <v>119</v>
      </c>
      <c r="E20" s="20" t="s">
        <v>8</v>
      </c>
      <c r="F20" s="20" t="s">
        <v>19</v>
      </c>
      <c r="G20" s="22">
        <f t="shared" si="0"/>
        <v>168</v>
      </c>
      <c r="H20" s="22">
        <f t="shared" si="1"/>
        <v>32</v>
      </c>
      <c r="I20" s="22">
        <v>0</v>
      </c>
      <c r="J20" s="22">
        <v>200</v>
      </c>
      <c r="K20" s="18"/>
    </row>
    <row r="21" spans="1:11" ht="30">
      <c r="A21" s="44" t="s">
        <v>123</v>
      </c>
      <c r="B21" s="14">
        <v>45820</v>
      </c>
      <c r="C21" s="15" t="s">
        <v>25</v>
      </c>
      <c r="D21" s="16" t="s">
        <v>122</v>
      </c>
      <c r="E21" s="15" t="s">
        <v>8</v>
      </c>
      <c r="F21" s="15" t="s">
        <v>19</v>
      </c>
      <c r="G21" s="17">
        <f t="shared" si="0"/>
        <v>504</v>
      </c>
      <c r="H21" s="17">
        <f t="shared" si="1"/>
        <v>96</v>
      </c>
      <c r="I21" s="17">
        <v>0</v>
      </c>
      <c r="J21" s="17">
        <f>600</f>
        <v>600</v>
      </c>
      <c r="K21" s="18"/>
    </row>
    <row r="22" spans="1:11">
      <c r="A22" s="43" t="s">
        <v>123</v>
      </c>
      <c r="B22" s="14">
        <v>45812</v>
      </c>
      <c r="C22" s="15" t="s">
        <v>25</v>
      </c>
      <c r="D22" s="16" t="s">
        <v>119</v>
      </c>
      <c r="E22" s="15" t="s">
        <v>84</v>
      </c>
      <c r="F22" s="15" t="s">
        <v>19</v>
      </c>
      <c r="G22" s="17">
        <f t="shared" si="0"/>
        <v>462</v>
      </c>
      <c r="H22" s="17">
        <f t="shared" si="1"/>
        <v>88</v>
      </c>
      <c r="I22" s="17">
        <v>0</v>
      </c>
      <c r="J22" s="17">
        <v>550</v>
      </c>
      <c r="K22" s="18"/>
    </row>
    <row r="23" spans="1:11">
      <c r="A23" s="44" t="s">
        <v>123</v>
      </c>
      <c r="B23" s="19">
        <v>45813</v>
      </c>
      <c r="C23" s="20" t="s">
        <v>25</v>
      </c>
      <c r="D23" s="21" t="s">
        <v>121</v>
      </c>
      <c r="E23" s="20" t="s">
        <v>8</v>
      </c>
      <c r="F23" s="20" t="s">
        <v>19</v>
      </c>
      <c r="G23" s="22">
        <f t="shared" si="0"/>
        <v>462</v>
      </c>
      <c r="H23" s="22">
        <f t="shared" si="1"/>
        <v>88</v>
      </c>
      <c r="I23" s="22">
        <v>0</v>
      </c>
      <c r="J23" s="22">
        <v>550</v>
      </c>
      <c r="K23" s="18"/>
    </row>
    <row r="24" spans="1:11" ht="30">
      <c r="A24" s="43" t="s">
        <v>123</v>
      </c>
      <c r="B24" s="14">
        <v>45848</v>
      </c>
      <c r="C24" s="15"/>
      <c r="D24" s="16" t="s">
        <v>41</v>
      </c>
      <c r="E24" s="15" t="s">
        <v>84</v>
      </c>
      <c r="F24" s="15" t="s">
        <v>13</v>
      </c>
      <c r="G24" s="17">
        <f>J24-H24</f>
        <v>504</v>
      </c>
      <c r="H24" s="17">
        <f>J24*0.16</f>
        <v>96</v>
      </c>
      <c r="I24" s="17"/>
      <c r="J24" s="17">
        <v>600</v>
      </c>
      <c r="K24" s="18"/>
    </row>
    <row r="25" spans="1:11">
      <c r="A25" s="44" t="s">
        <v>123</v>
      </c>
      <c r="B25" s="19">
        <v>45849</v>
      </c>
      <c r="C25" s="20"/>
      <c r="D25" s="21" t="s">
        <v>121</v>
      </c>
      <c r="E25" s="20" t="s">
        <v>84</v>
      </c>
      <c r="F25" s="20" t="s">
        <v>13</v>
      </c>
      <c r="G25" s="22">
        <f>J25-H25</f>
        <v>420</v>
      </c>
      <c r="H25" s="22">
        <f>J25*0.16</f>
        <v>80</v>
      </c>
      <c r="I25" s="22"/>
      <c r="J25" s="22">
        <v>500</v>
      </c>
      <c r="K25" s="18"/>
    </row>
    <row r="26" spans="1:11">
      <c r="A26" s="44"/>
      <c r="B26" s="19"/>
      <c r="C26" s="20"/>
      <c r="D26" s="21"/>
      <c r="E26" s="20"/>
      <c r="F26" s="20"/>
      <c r="G26" s="22"/>
      <c r="H26" s="22"/>
      <c r="I26" s="22"/>
      <c r="J26" s="22"/>
      <c r="K26" s="18"/>
    </row>
    <row r="27" spans="1:11">
      <c r="A27" s="44" t="s">
        <v>11</v>
      </c>
      <c r="B27" s="19"/>
      <c r="C27" s="20"/>
      <c r="D27" s="21"/>
      <c r="E27" s="20"/>
      <c r="F27" s="20"/>
      <c r="G27" s="22"/>
      <c r="H27" s="22"/>
      <c r="I27" s="22"/>
      <c r="J27" s="22"/>
      <c r="K27" s="18"/>
    </row>
    <row r="28" spans="1:11">
      <c r="A28" s="44" t="s">
        <v>11</v>
      </c>
      <c r="B28" s="19"/>
      <c r="C28" s="20"/>
      <c r="D28" s="21"/>
      <c r="E28" s="20"/>
      <c r="F28" s="20"/>
      <c r="G28" s="22"/>
      <c r="H28" s="22"/>
      <c r="I28" s="22"/>
      <c r="J28" s="22"/>
      <c r="K28" s="18"/>
    </row>
    <row r="29" spans="1:11">
      <c r="A29" s="44" t="s">
        <v>11</v>
      </c>
      <c r="B29" s="19"/>
      <c r="C29" s="20"/>
      <c r="D29" s="21"/>
      <c r="E29" s="20"/>
      <c r="F29" s="20"/>
      <c r="G29" s="22"/>
      <c r="H29" s="22"/>
      <c r="I29" s="22"/>
      <c r="J29" s="22"/>
      <c r="K29" s="18"/>
    </row>
    <row r="30" spans="1:11">
      <c r="A30" s="44"/>
      <c r="B30" s="19"/>
      <c r="C30" s="20"/>
      <c r="D30" s="21"/>
      <c r="E30" s="20"/>
      <c r="F30" s="20"/>
      <c r="G30" s="22"/>
      <c r="H30" s="22"/>
      <c r="I30" s="22"/>
      <c r="J30" s="22"/>
      <c r="K30" s="18"/>
    </row>
    <row r="31" spans="1:11">
      <c r="A31" s="44"/>
      <c r="B31" s="19"/>
      <c r="C31" s="20"/>
      <c r="D31" s="21"/>
      <c r="E31" s="20"/>
      <c r="F31" s="20"/>
      <c r="G31" s="22"/>
      <c r="H31" s="22"/>
      <c r="I31" s="22"/>
      <c r="J31" s="22"/>
      <c r="K31" s="18"/>
    </row>
    <row r="32" spans="1:11">
      <c r="A32" s="44"/>
      <c r="B32" s="19"/>
      <c r="C32" s="20"/>
      <c r="D32" s="21"/>
      <c r="E32" s="20"/>
      <c r="F32" s="20"/>
      <c r="G32" s="22"/>
      <c r="H32" s="22"/>
      <c r="I32" s="22"/>
      <c r="J32" s="22"/>
      <c r="K32" s="18"/>
    </row>
    <row r="33" spans="1:11">
      <c r="A33" s="44"/>
      <c r="B33" s="19"/>
      <c r="C33" s="20"/>
      <c r="D33" s="21"/>
      <c r="E33" s="20"/>
      <c r="F33" s="20"/>
      <c r="G33" s="22"/>
      <c r="H33" s="22"/>
      <c r="I33" s="22"/>
      <c r="J33" s="22"/>
      <c r="K33" s="18"/>
    </row>
    <row r="34" spans="1:11">
      <c r="A34" s="44"/>
      <c r="B34" s="19"/>
      <c r="C34" s="20"/>
      <c r="D34" s="21"/>
      <c r="E34" s="20"/>
      <c r="F34" s="20"/>
      <c r="G34" s="22"/>
      <c r="H34" s="22"/>
      <c r="I34" s="22"/>
      <c r="J34" s="22"/>
      <c r="K34" s="18"/>
    </row>
    <row r="35" spans="1:11">
      <c r="A35" s="44"/>
      <c r="B35" s="19"/>
      <c r="C35" s="20"/>
      <c r="D35" s="21"/>
      <c r="E35" s="20"/>
      <c r="F35" s="20"/>
      <c r="G35" s="22"/>
      <c r="H35" s="22"/>
      <c r="I35" s="22"/>
      <c r="J35" s="22"/>
      <c r="K35" s="18"/>
    </row>
    <row r="36" spans="1:11">
      <c r="A36" s="44"/>
      <c r="B36" s="19"/>
      <c r="C36" s="20"/>
      <c r="D36" s="21"/>
      <c r="E36" s="20"/>
      <c r="F36" s="20"/>
      <c r="G36" s="22"/>
      <c r="H36" s="22"/>
      <c r="I36" s="22"/>
      <c r="J36" s="22"/>
      <c r="K36" s="18"/>
    </row>
    <row r="37" spans="1:11">
      <c r="A37" s="44"/>
      <c r="B37" s="19"/>
      <c r="C37" s="20"/>
      <c r="D37" s="21"/>
      <c r="E37" s="20"/>
      <c r="F37" s="20"/>
      <c r="G37" s="22"/>
      <c r="H37" s="22"/>
      <c r="I37" s="22"/>
      <c r="J37" s="22"/>
      <c r="K37" s="18"/>
    </row>
    <row r="38" spans="1:11">
      <c r="A38" s="44"/>
      <c r="B38" s="19"/>
      <c r="C38" s="20"/>
      <c r="D38" s="21"/>
      <c r="E38" s="20"/>
      <c r="F38" s="20"/>
      <c r="G38" s="22"/>
      <c r="H38" s="22"/>
      <c r="I38" s="22"/>
      <c r="J38" s="22"/>
      <c r="K38" s="18"/>
    </row>
    <row r="39" spans="1:11">
      <c r="A39" s="44"/>
      <c r="B39" s="19"/>
      <c r="C39" s="20"/>
      <c r="D39" s="21"/>
      <c r="E39" s="20"/>
      <c r="F39" s="20"/>
      <c r="G39" s="22"/>
      <c r="H39" s="22"/>
      <c r="I39" s="22"/>
      <c r="J39" s="22"/>
      <c r="K39" s="18"/>
    </row>
    <row r="40" spans="1:11">
      <c r="A40" s="44"/>
      <c r="B40" s="19"/>
      <c r="C40" s="20"/>
      <c r="D40" s="21"/>
      <c r="E40" s="20"/>
      <c r="F40" s="20"/>
      <c r="G40" s="22"/>
      <c r="H40" s="22"/>
      <c r="I40" s="22"/>
      <c r="J40" s="22"/>
      <c r="K40" s="18"/>
    </row>
    <row r="41" spans="1:11">
      <c r="A41" s="44"/>
      <c r="B41" s="19"/>
      <c r="C41" s="20"/>
      <c r="D41" s="21"/>
      <c r="E41" s="20"/>
      <c r="F41" s="20"/>
      <c r="G41" s="22"/>
      <c r="H41" s="22"/>
      <c r="I41" s="22"/>
      <c r="J41" s="22"/>
      <c r="K41" s="18"/>
    </row>
    <row r="42" spans="1:11">
      <c r="A42" s="44"/>
      <c r="B42" s="19"/>
      <c r="C42" s="20"/>
      <c r="D42" s="21"/>
      <c r="E42" s="20"/>
      <c r="F42" s="20"/>
      <c r="G42" s="22"/>
      <c r="H42" s="22"/>
      <c r="I42" s="22"/>
      <c r="J42" s="22"/>
      <c r="K42" s="18"/>
    </row>
    <row r="43" spans="1:11">
      <c r="A43" s="44"/>
      <c r="B43" s="19"/>
      <c r="C43" s="20"/>
      <c r="D43" s="21"/>
      <c r="E43" s="20"/>
      <c r="F43" s="20"/>
      <c r="G43" s="22"/>
      <c r="H43" s="22"/>
      <c r="I43" s="22"/>
      <c r="J43" s="22"/>
      <c r="K43" s="18"/>
    </row>
    <row r="44" spans="1:11">
      <c r="A44" s="44"/>
      <c r="B44" s="19"/>
      <c r="C44" s="20"/>
      <c r="D44" s="21"/>
      <c r="E44" s="20"/>
      <c r="F44" s="20"/>
      <c r="G44" s="22"/>
      <c r="H44" s="22"/>
      <c r="I44" s="22"/>
      <c r="J44" s="22"/>
      <c r="K44" s="18"/>
    </row>
    <row r="45" spans="1:11">
      <c r="A45" s="44"/>
      <c r="B45" s="19"/>
      <c r="C45" s="20"/>
      <c r="D45" s="21"/>
      <c r="E45" s="20"/>
      <c r="F45" s="20"/>
      <c r="G45" s="22"/>
      <c r="H45" s="22"/>
      <c r="I45" s="22"/>
      <c r="J45" s="22"/>
      <c r="K45" s="18"/>
    </row>
    <row r="46" spans="1:11">
      <c r="A46" s="44"/>
      <c r="B46" s="19"/>
      <c r="C46" s="20"/>
      <c r="D46" s="21"/>
      <c r="E46" s="20"/>
      <c r="F46" s="20"/>
      <c r="G46" s="22"/>
      <c r="H46" s="22"/>
      <c r="I46" s="22"/>
      <c r="J46" s="22"/>
      <c r="K46" s="18"/>
    </row>
    <row r="47" spans="1:11">
      <c r="A47" s="44"/>
      <c r="B47" s="19"/>
      <c r="C47" s="20"/>
      <c r="D47" s="21"/>
      <c r="E47" s="20"/>
      <c r="F47" s="20"/>
      <c r="G47" s="22"/>
      <c r="H47" s="22"/>
      <c r="I47" s="22"/>
      <c r="J47" s="22"/>
      <c r="K47" s="18"/>
    </row>
    <row r="48" spans="1:11">
      <c r="A48" s="44"/>
      <c r="B48" s="19"/>
      <c r="C48" s="20"/>
      <c r="D48" s="21"/>
      <c r="E48" s="20"/>
      <c r="F48" s="20"/>
      <c r="G48" s="22"/>
      <c r="H48" s="22"/>
      <c r="I48" s="22"/>
      <c r="J48" s="22"/>
      <c r="K48" s="18"/>
    </row>
    <row r="49" spans="1:11">
      <c r="A49" s="44"/>
      <c r="B49" s="19"/>
      <c r="C49" s="20"/>
      <c r="D49" s="21"/>
      <c r="E49" s="20"/>
      <c r="F49" s="20"/>
      <c r="G49" s="22"/>
      <c r="H49" s="22"/>
      <c r="I49" s="22"/>
      <c r="J49" s="22"/>
      <c r="K49" s="18"/>
    </row>
    <row r="50" spans="1:11">
      <c r="A50" s="44"/>
      <c r="B50" s="19"/>
      <c r="C50" s="20"/>
      <c r="D50" s="21"/>
      <c r="E50" s="20"/>
      <c r="F50" s="20"/>
      <c r="G50" s="22"/>
      <c r="H50" s="22"/>
      <c r="I50" s="22"/>
      <c r="J50" s="22"/>
      <c r="K50" s="18"/>
    </row>
    <row r="51" spans="1:11">
      <c r="A51" s="43"/>
      <c r="B51" s="19"/>
      <c r="C51" s="20"/>
      <c r="D51" s="21"/>
      <c r="E51" s="20"/>
      <c r="F51" s="20"/>
      <c r="G51" s="22"/>
      <c r="H51" s="22"/>
      <c r="I51" s="22"/>
      <c r="J51" s="22"/>
      <c r="K51" s="18"/>
    </row>
    <row r="52" spans="1:11">
      <c r="A52" s="44"/>
      <c r="B52" s="14"/>
      <c r="C52" s="15"/>
      <c r="D52" s="21"/>
      <c r="E52" s="20"/>
      <c r="F52" s="20"/>
      <c r="G52" s="17"/>
      <c r="H52" s="17"/>
      <c r="I52" s="17"/>
      <c r="J52" s="17"/>
      <c r="K52" s="18"/>
    </row>
    <row r="53" spans="1:11">
      <c r="A53" s="43"/>
      <c r="B53" s="19"/>
      <c r="C53" s="20"/>
      <c r="D53" s="21"/>
      <c r="E53" s="20"/>
      <c r="F53" s="20"/>
      <c r="G53" s="22"/>
      <c r="H53" s="22"/>
      <c r="I53" s="22"/>
      <c r="J53" s="22"/>
      <c r="K53" s="18"/>
    </row>
    <row r="54" spans="1:11">
      <c r="A54" s="44"/>
      <c r="B54" s="14"/>
      <c r="C54" s="15"/>
      <c r="D54" s="21"/>
      <c r="E54" s="20"/>
      <c r="F54" s="20"/>
      <c r="G54" s="17"/>
      <c r="H54" s="17"/>
      <c r="I54" s="17"/>
      <c r="J54" s="17"/>
      <c r="K54" s="18"/>
    </row>
    <row r="55" spans="1:11">
      <c r="A55" s="43"/>
      <c r="B55" s="14"/>
      <c r="C55" s="15"/>
      <c r="D55" s="21"/>
      <c r="E55" s="20"/>
      <c r="F55" s="20"/>
      <c r="G55" s="17"/>
      <c r="H55" s="17"/>
      <c r="I55" s="17"/>
      <c r="J55" s="17"/>
      <c r="K55" s="18"/>
    </row>
    <row r="56" spans="1:11">
      <c r="A56" s="44"/>
      <c r="B56" s="19"/>
      <c r="C56" s="20"/>
      <c r="D56" s="21"/>
      <c r="E56" s="20"/>
      <c r="F56" s="20"/>
      <c r="G56" s="22"/>
      <c r="H56" s="22"/>
      <c r="I56" s="22"/>
      <c r="J56" s="22"/>
      <c r="K56" s="18"/>
    </row>
    <row r="57" spans="1:11">
      <c r="A57" s="43"/>
      <c r="B57" s="14"/>
      <c r="C57" s="15"/>
      <c r="D57" s="21"/>
      <c r="E57" s="20"/>
      <c r="F57" s="20"/>
      <c r="G57" s="17"/>
      <c r="H57" s="17"/>
      <c r="I57" s="17"/>
      <c r="J57" s="17"/>
      <c r="K57" s="18"/>
    </row>
    <row r="58" spans="1:11">
      <c r="A58" s="44"/>
      <c r="B58" s="19"/>
      <c r="C58" s="20"/>
      <c r="D58" s="21"/>
      <c r="E58" s="20"/>
      <c r="F58" s="20"/>
      <c r="G58" s="22"/>
      <c r="H58" s="22"/>
      <c r="I58" s="22"/>
      <c r="J58" s="22"/>
      <c r="K58" s="18"/>
    </row>
  </sheetData>
  <mergeCells count="2">
    <mergeCell ref="D1:E1"/>
    <mergeCell ref="A16:K16"/>
  </mergeCells>
  <phoneticPr fontId="14" type="noConversion"/>
  <dataValidations count="2">
    <dataValidation type="list" allowBlank="1" showInputMessage="1" showErrorMessage="1" sqref="E18:F21 E22:E58" xr:uid="{D095BEF1-6B74-424F-9745-AB6B9FD16E11}">
      <formula1>"Efectivo,Transferencia,Tarjeta"</formula1>
    </dataValidation>
    <dataValidation type="list" allowBlank="1" showInputMessage="1" showErrorMessage="1" sqref="F18:F58" xr:uid="{EA14A141-77CA-4B45-BF48-C5852BA0AE50}">
      <formula1>"BBVA Alo, Caja"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1E60362-F6FD-6647-BF09-92FC85149551}">
          <x14:formula1>
            <xm:f>Inventario!$C$10:$C$19</xm:f>
          </x14:formula1>
          <xm:sqref>D19:D58</xm:sqref>
        </x14:dataValidation>
        <x14:dataValidation type="list" allowBlank="1" showInputMessage="1" showErrorMessage="1" xr:uid="{4FE9F1D8-1843-ED4D-94CE-EF4AE3D2621B}">
          <x14:formula1>
            <xm:f>Inventario!$C:$C</xm:f>
          </x14:formula1>
          <xm:sqref>D18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opLeftCell="A3" zoomScale="139" zoomScaleNormal="139" workbookViewId="0">
      <selection activeCell="I20" sqref="I20"/>
    </sheetView>
  </sheetViews>
  <sheetFormatPr baseColWidth="10" defaultColWidth="8.83203125" defaultRowHeight="15"/>
  <cols>
    <col min="1" max="1" width="13.83203125" customWidth="1"/>
    <col min="2" max="2" width="14" style="1" customWidth="1"/>
    <col min="3" max="3" width="15.1640625" style="2" customWidth="1"/>
    <col min="4" max="4" width="10.83203125" customWidth="1"/>
    <col min="5" max="5" width="9.83203125" customWidth="1"/>
    <col min="6" max="6" width="12.83203125" bestFit="1" customWidth="1"/>
    <col min="7" max="7" width="13.83203125" customWidth="1"/>
    <col min="8" max="8" width="11.1640625" style="2" bestFit="1" customWidth="1"/>
    <col min="9" max="9" width="12.33203125" bestFit="1" customWidth="1"/>
    <col min="10" max="10" width="22.5" bestFit="1" customWidth="1"/>
    <col min="11" max="11" width="14" bestFit="1" customWidth="1"/>
    <col min="12" max="12" width="17.83203125" bestFit="1" customWidth="1"/>
    <col min="13" max="13" width="9.5" bestFit="1" customWidth="1"/>
    <col min="14" max="14" width="16.33203125" bestFit="1" customWidth="1"/>
    <col min="15" max="15" width="18.33203125" bestFit="1" customWidth="1"/>
  </cols>
  <sheetData>
    <row r="1" spans="1:10">
      <c r="A1" s="10"/>
      <c r="B1" s="48"/>
    </row>
    <row r="2" spans="1:10">
      <c r="A2" s="10"/>
      <c r="B2" s="48"/>
    </row>
    <row r="3" spans="1:10">
      <c r="A3" s="10"/>
      <c r="B3" s="48"/>
    </row>
    <row r="4" spans="1:10">
      <c r="A4" s="10"/>
      <c r="B4" s="48"/>
    </row>
    <row r="5" spans="1:10">
      <c r="A5" s="10"/>
      <c r="B5" s="48"/>
    </row>
    <row r="6" spans="1:10" ht="37">
      <c r="A6" s="96" t="s">
        <v>256</v>
      </c>
      <c r="B6" s="97"/>
      <c r="C6" s="97"/>
      <c r="D6" s="97"/>
      <c r="E6" s="98"/>
    </row>
    <row r="7" spans="1:10" ht="30">
      <c r="A7" s="45" t="s">
        <v>21</v>
      </c>
      <c r="B7" s="45" t="s">
        <v>5</v>
      </c>
      <c r="C7" s="46" t="s">
        <v>6</v>
      </c>
      <c r="D7" s="45" t="s">
        <v>7</v>
      </c>
      <c r="E7" s="45" t="s">
        <v>22</v>
      </c>
      <c r="G7" s="101" t="s">
        <v>73</v>
      </c>
      <c r="H7" s="101"/>
      <c r="I7" s="101"/>
      <c r="J7" s="101"/>
    </row>
    <row r="8" spans="1:10">
      <c r="A8" s="43" t="s">
        <v>24</v>
      </c>
      <c r="B8" s="43" t="s">
        <v>257</v>
      </c>
      <c r="C8" s="43">
        <v>45900</v>
      </c>
      <c r="D8" s="49">
        <v>27270</v>
      </c>
      <c r="E8" s="43" t="s">
        <v>34</v>
      </c>
      <c r="G8" s="47" t="s">
        <v>50</v>
      </c>
      <c r="H8" s="39">
        <v>0</v>
      </c>
      <c r="I8" s="99" t="s">
        <v>65</v>
      </c>
      <c r="J8" s="100">
        <f>SUM(H8:H12)-H13+H14</f>
        <v>22000</v>
      </c>
    </row>
    <row r="9" spans="1:10">
      <c r="A9" s="43" t="s">
        <v>24</v>
      </c>
      <c r="B9" s="43" t="s">
        <v>258</v>
      </c>
      <c r="C9" s="43">
        <v>45900</v>
      </c>
      <c r="D9" s="49">
        <v>19640</v>
      </c>
      <c r="E9" s="43" t="s">
        <v>34</v>
      </c>
      <c r="G9" s="47" t="s">
        <v>64</v>
      </c>
      <c r="H9" s="39">
        <v>0</v>
      </c>
      <c r="I9" s="99"/>
      <c r="J9" s="100"/>
    </row>
    <row r="10" spans="1:10">
      <c r="A10" s="43" t="s">
        <v>24</v>
      </c>
      <c r="B10" s="43" t="s">
        <v>23</v>
      </c>
      <c r="C10" s="43" t="s">
        <v>265</v>
      </c>
      <c r="D10" s="49">
        <v>5000</v>
      </c>
      <c r="E10" s="43" t="s">
        <v>34</v>
      </c>
      <c r="G10" s="47" t="s">
        <v>74</v>
      </c>
      <c r="H10" s="39">
        <v>0</v>
      </c>
      <c r="I10" s="99"/>
      <c r="J10" s="100"/>
    </row>
    <row r="11" spans="1:10">
      <c r="A11" s="43" t="s">
        <v>24</v>
      </c>
      <c r="B11" s="43" t="s">
        <v>266</v>
      </c>
      <c r="C11" s="43" t="s">
        <v>265</v>
      </c>
      <c r="D11" s="49">
        <v>3000</v>
      </c>
      <c r="E11" s="43" t="s">
        <v>34</v>
      </c>
      <c r="G11" s="90" t="s">
        <v>318</v>
      </c>
      <c r="H11" s="39">
        <v>5000</v>
      </c>
    </row>
    <row r="12" spans="1:10">
      <c r="A12" s="43" t="s">
        <v>24</v>
      </c>
      <c r="B12" s="43" t="s">
        <v>23</v>
      </c>
      <c r="C12" s="43">
        <v>45473</v>
      </c>
      <c r="D12" s="49">
        <v>5283</v>
      </c>
      <c r="E12" s="43" t="s">
        <v>34</v>
      </c>
      <c r="G12" s="90" t="s">
        <v>320</v>
      </c>
      <c r="H12" s="2">
        <v>13000</v>
      </c>
    </row>
    <row r="13" spans="1:10">
      <c r="A13" s="43" t="s">
        <v>319</v>
      </c>
      <c r="B13" s="43"/>
      <c r="C13" s="43"/>
      <c r="D13" s="43"/>
      <c r="E13" s="43"/>
      <c r="G13" s="90" t="s">
        <v>410</v>
      </c>
      <c r="H13" s="2">
        <v>1000</v>
      </c>
    </row>
    <row r="14" spans="1:10">
      <c r="A14" s="43"/>
      <c r="B14" s="43"/>
      <c r="C14" s="43"/>
      <c r="D14" s="43"/>
      <c r="E14" s="43"/>
      <c r="H14" s="2">
        <v>5000</v>
      </c>
    </row>
    <row r="15" spans="1:10">
      <c r="A15" s="43"/>
      <c r="B15" s="43"/>
      <c r="C15" s="43"/>
      <c r="D15" s="43"/>
      <c r="E15" s="43"/>
    </row>
    <row r="16" spans="1:10">
      <c r="A16" s="43"/>
      <c r="B16" s="43"/>
      <c r="C16" s="43"/>
      <c r="D16" s="43"/>
      <c r="E16" s="43"/>
    </row>
    <row r="17" spans="1:5">
      <c r="A17" s="43"/>
      <c r="B17" s="43"/>
      <c r="C17" s="43"/>
      <c r="D17" s="43"/>
      <c r="E17" s="43"/>
    </row>
    <row r="18" spans="1:5">
      <c r="A18" s="43"/>
      <c r="B18" s="43"/>
      <c r="C18" s="43"/>
      <c r="D18" s="43"/>
      <c r="E18" s="43"/>
    </row>
    <row r="19" spans="1:5">
      <c r="A19" s="43"/>
      <c r="B19" s="43"/>
      <c r="C19" s="43"/>
      <c r="D19" s="43"/>
      <c r="E19" s="43"/>
    </row>
    <row r="20" spans="1:5">
      <c r="A20" s="43"/>
      <c r="B20" s="43"/>
      <c r="C20" s="43"/>
      <c r="D20" s="43"/>
      <c r="E20" s="43"/>
    </row>
    <row r="21" spans="1:5">
      <c r="A21" s="43"/>
      <c r="B21" s="43"/>
      <c r="C21" s="43"/>
      <c r="D21" s="43"/>
      <c r="E21" s="43"/>
    </row>
  </sheetData>
  <autoFilter ref="A6:A12" xr:uid="{00000000-0001-0000-0100-000000000000}"/>
  <mergeCells count="4">
    <mergeCell ref="A6:E6"/>
    <mergeCell ref="I8:I10"/>
    <mergeCell ref="J8:J10"/>
    <mergeCell ref="G7:J7"/>
  </mergeCells>
  <dataValidations count="1">
    <dataValidation type="list" allowBlank="1" showInputMessage="1" showErrorMessage="1" sqref="E8:E12" xr:uid="{8826C762-8D7B-904A-8B75-0B901ECAF485}">
      <formula1>"Pagado, Pendiente, Revisado"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E2A7-4DDB-4A45-A0B8-47FF03AD3E40}">
  <dimension ref="A1:M19"/>
  <sheetViews>
    <sheetView zoomScale="131" zoomScaleNormal="131" workbookViewId="0">
      <selection activeCell="C14" sqref="C14"/>
    </sheetView>
  </sheetViews>
  <sheetFormatPr baseColWidth="10" defaultRowHeight="15"/>
  <cols>
    <col min="1" max="2" width="10.83203125" style="3"/>
    <col min="3" max="3" width="28.6640625" style="5" customWidth="1"/>
    <col min="4" max="4" width="10.83203125" style="4"/>
    <col min="5" max="5" width="13.83203125" style="4" customWidth="1"/>
    <col min="6" max="6" width="10.83203125" style="4"/>
    <col min="7" max="7" width="10.83203125" style="3"/>
    <col min="8" max="9" width="14.1640625" style="3" customWidth="1"/>
    <col min="10" max="16384" width="10.83203125" style="3"/>
  </cols>
  <sheetData>
    <row r="1" spans="1:13" ht="18">
      <c r="A1" s="55"/>
      <c r="B1" s="55"/>
      <c r="C1" s="103" t="s">
        <v>147</v>
      </c>
      <c r="D1" s="103"/>
      <c r="E1" s="3"/>
    </row>
    <row r="2" spans="1:13">
      <c r="A2" s="55"/>
      <c r="B2" s="55"/>
      <c r="C2" s="58" t="s">
        <v>142</v>
      </c>
      <c r="D2" s="58">
        <f>COUNTA(B10:B102)</f>
        <v>10</v>
      </c>
      <c r="E2" s="3"/>
    </row>
    <row r="3" spans="1:13">
      <c r="A3" s="55"/>
      <c r="B3" s="55"/>
      <c r="C3" s="58" t="s">
        <v>143</v>
      </c>
      <c r="D3" s="58">
        <f>COUNTIF(G10:G102,0)</f>
        <v>1</v>
      </c>
      <c r="E3" s="3"/>
    </row>
    <row r="4" spans="1:13">
      <c r="A4" s="55"/>
      <c r="B4" s="55"/>
      <c r="C4" s="58" t="s">
        <v>144</v>
      </c>
      <c r="D4" s="58">
        <f>COUNTIF(I10:I102,"REABASTECER")</f>
        <v>10</v>
      </c>
      <c r="E4" s="3"/>
    </row>
    <row r="5" spans="1:13">
      <c r="A5" s="55"/>
      <c r="B5" s="55"/>
      <c r="C5" s="58" t="s">
        <v>145</v>
      </c>
      <c r="D5" s="59">
        <f>SUMPRODUCT(G10:G102,E10:E102)</f>
        <v>1100</v>
      </c>
      <c r="E5" s="3"/>
    </row>
    <row r="6" spans="1:13">
      <c r="A6" s="55"/>
      <c r="B6" s="55"/>
      <c r="C6" s="58" t="s">
        <v>146</v>
      </c>
      <c r="D6" s="59">
        <f>SUMPRODUCT(G10:G102,F10:F102)</f>
        <v>140</v>
      </c>
      <c r="E6" s="3"/>
    </row>
    <row r="7" spans="1:13" ht="16">
      <c r="A7" s="55"/>
      <c r="B7" s="55"/>
      <c r="D7" s="53"/>
      <c r="L7"/>
      <c r="M7" s="57"/>
    </row>
    <row r="8" spans="1:13" ht="27" customHeight="1">
      <c r="A8" s="102" t="s">
        <v>126</v>
      </c>
      <c r="B8" s="102"/>
      <c r="C8" s="102"/>
      <c r="D8" s="102"/>
      <c r="E8" s="102"/>
      <c r="F8" s="102"/>
      <c r="G8" s="102"/>
      <c r="H8" s="102"/>
      <c r="I8" s="102"/>
    </row>
    <row r="9" spans="1:13" ht="16">
      <c r="A9" s="45" t="s">
        <v>127</v>
      </c>
      <c r="B9" s="45" t="s">
        <v>128</v>
      </c>
      <c r="C9" s="45" t="s">
        <v>101</v>
      </c>
      <c r="D9" s="45" t="s">
        <v>36</v>
      </c>
      <c r="E9" s="45" t="s">
        <v>125</v>
      </c>
      <c r="F9" s="45" t="s">
        <v>37</v>
      </c>
      <c r="G9" s="45" t="s">
        <v>139</v>
      </c>
      <c r="H9" s="45" t="s">
        <v>140</v>
      </c>
      <c r="I9" s="45" t="s">
        <v>141</v>
      </c>
      <c r="L9"/>
      <c r="M9" s="57"/>
    </row>
    <row r="10" spans="1:13">
      <c r="A10" s="54">
        <v>1</v>
      </c>
      <c r="B10" s="54" t="s">
        <v>129</v>
      </c>
      <c r="C10" s="50" t="s">
        <v>119</v>
      </c>
      <c r="D10" s="51"/>
      <c r="E10" s="51"/>
      <c r="F10" s="51"/>
      <c r="G10" s="52">
        <v>0</v>
      </c>
      <c r="H10" s="51"/>
      <c r="I10" s="51" t="str">
        <f>IF(G10&lt;=H10, "REABASTECER", "OK")</f>
        <v>REABASTECER</v>
      </c>
    </row>
    <row r="11" spans="1:13">
      <c r="A11" s="54">
        <v>2</v>
      </c>
      <c r="B11" s="54" t="s">
        <v>130</v>
      </c>
      <c r="C11" s="50" t="s">
        <v>120</v>
      </c>
      <c r="D11" s="51">
        <v>480</v>
      </c>
      <c r="E11" s="51">
        <v>550</v>
      </c>
      <c r="F11" s="51">
        <f>E11-D11</f>
        <v>70</v>
      </c>
      <c r="G11" s="52">
        <v>2</v>
      </c>
      <c r="H11" s="56">
        <v>5</v>
      </c>
      <c r="I11" s="51" t="str">
        <f t="shared" ref="I11:I19" si="0">IF(G11&lt;=H11, "REABASTECER", "OK")</f>
        <v>REABASTECER</v>
      </c>
    </row>
    <row r="12" spans="1:13" ht="30">
      <c r="A12" s="54">
        <v>3</v>
      </c>
      <c r="B12" s="54" t="s">
        <v>131</v>
      </c>
      <c r="C12" s="50" t="s">
        <v>38</v>
      </c>
      <c r="D12" s="51"/>
      <c r="E12" s="51"/>
      <c r="F12" s="51"/>
      <c r="G12" s="52"/>
      <c r="H12" s="51"/>
      <c r="I12" s="51" t="str">
        <f t="shared" si="0"/>
        <v>REABASTECER</v>
      </c>
    </row>
    <row r="13" spans="1:13">
      <c r="A13" s="54">
        <v>4</v>
      </c>
      <c r="B13" s="54" t="s">
        <v>132</v>
      </c>
      <c r="C13" s="50" t="s">
        <v>121</v>
      </c>
      <c r="D13" s="51"/>
      <c r="E13" s="51"/>
      <c r="F13" s="51"/>
      <c r="G13" s="52"/>
      <c r="H13" s="51"/>
      <c r="I13" s="51" t="str">
        <f t="shared" si="0"/>
        <v>REABASTECER</v>
      </c>
    </row>
    <row r="14" spans="1:13" ht="30">
      <c r="A14" s="54">
        <v>5</v>
      </c>
      <c r="B14" s="54" t="s">
        <v>133</v>
      </c>
      <c r="C14" s="50" t="s">
        <v>122</v>
      </c>
      <c r="D14" s="51"/>
      <c r="E14" s="51"/>
      <c r="F14" s="51"/>
      <c r="G14" s="52"/>
      <c r="H14" s="51"/>
      <c r="I14" s="51" t="str">
        <f t="shared" si="0"/>
        <v>REABASTECER</v>
      </c>
    </row>
    <row r="15" spans="1:13" ht="30">
      <c r="A15" s="54">
        <v>6</v>
      </c>
      <c r="B15" s="54" t="s">
        <v>134</v>
      </c>
      <c r="C15" s="50" t="s">
        <v>122</v>
      </c>
      <c r="D15" s="51"/>
      <c r="E15" s="51"/>
      <c r="F15" s="51"/>
      <c r="G15" s="52"/>
      <c r="H15" s="51"/>
      <c r="I15" s="51" t="str">
        <f t="shared" si="0"/>
        <v>REABASTECER</v>
      </c>
    </row>
    <row r="16" spans="1:13">
      <c r="A16" s="54">
        <v>7</v>
      </c>
      <c r="B16" s="54" t="s">
        <v>135</v>
      </c>
      <c r="C16" s="50" t="s">
        <v>40</v>
      </c>
      <c r="D16" s="51"/>
      <c r="E16" s="51"/>
      <c r="F16" s="51"/>
      <c r="G16" s="52"/>
      <c r="H16" s="51"/>
      <c r="I16" s="51" t="str">
        <f t="shared" si="0"/>
        <v>REABASTECER</v>
      </c>
    </row>
    <row r="17" spans="1:9">
      <c r="A17" s="54">
        <v>8</v>
      </c>
      <c r="B17" s="54" t="s">
        <v>136</v>
      </c>
      <c r="C17" s="50" t="s">
        <v>41</v>
      </c>
      <c r="D17" s="51"/>
      <c r="E17" s="51"/>
      <c r="F17" s="51"/>
      <c r="G17" s="52"/>
      <c r="H17" s="51"/>
      <c r="I17" s="51" t="str">
        <f t="shared" si="0"/>
        <v>REABASTECER</v>
      </c>
    </row>
    <row r="18" spans="1:9">
      <c r="A18" s="54">
        <v>9</v>
      </c>
      <c r="B18" s="54" t="s">
        <v>137</v>
      </c>
      <c r="C18" s="50" t="s">
        <v>42</v>
      </c>
      <c r="D18" s="51"/>
      <c r="E18" s="51"/>
      <c r="F18" s="51"/>
      <c r="G18" s="52"/>
      <c r="H18" s="51"/>
      <c r="I18" s="51" t="str">
        <f t="shared" si="0"/>
        <v>REABASTECER</v>
      </c>
    </row>
    <row r="19" spans="1:9">
      <c r="A19" s="54">
        <v>10</v>
      </c>
      <c r="B19" s="54" t="s">
        <v>138</v>
      </c>
      <c r="C19" s="50" t="s">
        <v>43</v>
      </c>
      <c r="D19" s="51"/>
      <c r="E19" s="51"/>
      <c r="F19" s="51"/>
      <c r="G19" s="52"/>
      <c r="H19" s="51"/>
      <c r="I19" s="51" t="str">
        <f t="shared" si="0"/>
        <v>REABASTECER</v>
      </c>
    </row>
  </sheetData>
  <mergeCells count="2">
    <mergeCell ref="A8:I8"/>
    <mergeCell ref="C1:D1"/>
  </mergeCells>
  <phoneticPr fontId="14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0B75-3B70-7543-AC72-533A2297FABB}">
  <dimension ref="A1:H14"/>
  <sheetViews>
    <sheetView zoomScale="140" zoomScaleNormal="140" workbookViewId="0">
      <selection activeCell="A12" sqref="A12"/>
    </sheetView>
  </sheetViews>
  <sheetFormatPr baseColWidth="10" defaultRowHeight="15"/>
  <cols>
    <col min="1" max="1" width="8.83203125" bestFit="1" customWidth="1"/>
    <col min="2" max="2" width="13.1640625" bestFit="1" customWidth="1"/>
    <col min="3" max="3" width="24.1640625" customWidth="1"/>
    <col min="4" max="4" width="17.33203125" customWidth="1"/>
    <col min="5" max="5" width="17.83203125" bestFit="1" customWidth="1"/>
    <col min="6" max="6" width="11" bestFit="1" customWidth="1"/>
    <col min="7" max="7" width="19.33203125" bestFit="1" customWidth="1"/>
    <col min="8" max="8" width="23.1640625" customWidth="1"/>
  </cols>
  <sheetData>
    <row r="1" spans="1:8" ht="16">
      <c r="A1" s="10"/>
      <c r="B1" s="10"/>
      <c r="C1" s="105" t="s">
        <v>161</v>
      </c>
      <c r="D1" s="105"/>
    </row>
    <row r="2" spans="1:8">
      <c r="A2" s="10"/>
      <c r="B2" s="10"/>
      <c r="C2" s="58" t="s">
        <v>158</v>
      </c>
      <c r="D2" s="58">
        <f>SUM(D9:D99)</f>
        <v>6250</v>
      </c>
    </row>
    <row r="3" spans="1:8">
      <c r="A3" s="10"/>
      <c r="B3" s="10"/>
      <c r="C3" s="58" t="s">
        <v>159</v>
      </c>
      <c r="D3" s="62">
        <f>AVERAGE(G9:G99)</f>
        <v>209.16875522138682</v>
      </c>
    </row>
    <row r="4" spans="1:8">
      <c r="A4" s="10"/>
      <c r="B4" s="10"/>
      <c r="C4" s="58" t="s">
        <v>160</v>
      </c>
      <c r="D4" s="58" t="str">
        <f>INDEX(C9:C99,MATCH(MIN(G9:G99),G9:G99,0))</f>
        <v xml:space="preserve">Vuelve a agendar </v>
      </c>
    </row>
    <row r="5" spans="1:8">
      <c r="A5" s="10"/>
      <c r="B5" s="10"/>
    </row>
    <row r="7" spans="1:8" ht="37">
      <c r="A7" s="104" t="s">
        <v>157</v>
      </c>
      <c r="B7" s="104"/>
      <c r="C7" s="104"/>
      <c r="D7" s="104"/>
      <c r="E7" s="104"/>
      <c r="F7" s="104"/>
      <c r="G7" s="104"/>
      <c r="H7" s="104"/>
    </row>
    <row r="8" spans="1:8">
      <c r="A8" s="45" t="s">
        <v>9</v>
      </c>
      <c r="B8" s="45" t="s">
        <v>148</v>
      </c>
      <c r="C8" s="45" t="s">
        <v>149</v>
      </c>
      <c r="D8" s="45" t="s">
        <v>150</v>
      </c>
      <c r="E8" s="45" t="s">
        <v>151</v>
      </c>
      <c r="F8" s="45" t="s">
        <v>152</v>
      </c>
      <c r="G8" s="45" t="s">
        <v>153</v>
      </c>
      <c r="H8" s="45" t="s">
        <v>95</v>
      </c>
    </row>
    <row r="9" spans="1:8">
      <c r="A9" s="60">
        <v>45869</v>
      </c>
      <c r="B9" s="18" t="s">
        <v>163</v>
      </c>
      <c r="C9" s="18" t="s">
        <v>164</v>
      </c>
      <c r="D9" s="61">
        <v>1000</v>
      </c>
      <c r="E9" s="18" t="s">
        <v>154</v>
      </c>
      <c r="F9" s="18" t="s">
        <v>167</v>
      </c>
      <c r="G9" s="61">
        <f t="shared" ref="G9:G14" si="0">IF(F9&lt;&gt;"", D9 / VALUE(LEFT(F9, FIND(" ", F9) - 1)), "")</f>
        <v>200</v>
      </c>
      <c r="H9" s="18" t="s">
        <v>155</v>
      </c>
    </row>
    <row r="10" spans="1:8">
      <c r="A10" s="60">
        <v>45869</v>
      </c>
      <c r="B10" s="18" t="s">
        <v>163</v>
      </c>
      <c r="C10" s="18" t="s">
        <v>165</v>
      </c>
      <c r="D10" s="61">
        <v>1000</v>
      </c>
      <c r="E10" s="18" t="s">
        <v>154</v>
      </c>
      <c r="F10" s="18" t="s">
        <v>156</v>
      </c>
      <c r="G10" s="61">
        <f t="shared" si="0"/>
        <v>333.33333333333331</v>
      </c>
      <c r="H10" s="18" t="s">
        <v>162</v>
      </c>
    </row>
    <row r="11" spans="1:8">
      <c r="A11" s="60">
        <v>45869</v>
      </c>
      <c r="B11" s="18" t="s">
        <v>163</v>
      </c>
      <c r="C11" s="18" t="s">
        <v>166</v>
      </c>
      <c r="D11" s="61">
        <v>1000</v>
      </c>
      <c r="E11" s="18" t="s">
        <v>154</v>
      </c>
      <c r="F11" s="18" t="s">
        <v>168</v>
      </c>
      <c r="G11" s="61">
        <f t="shared" si="0"/>
        <v>52.631578947368418</v>
      </c>
      <c r="H11" s="18" t="s">
        <v>171</v>
      </c>
    </row>
    <row r="12" spans="1:8">
      <c r="A12" s="60">
        <v>45870</v>
      </c>
      <c r="B12" s="18" t="s">
        <v>163</v>
      </c>
      <c r="C12" s="18" t="s">
        <v>170</v>
      </c>
      <c r="D12" s="61">
        <v>1000</v>
      </c>
      <c r="E12" s="18" t="s">
        <v>154</v>
      </c>
      <c r="F12" s="18" t="s">
        <v>207</v>
      </c>
      <c r="G12" s="61">
        <f t="shared" si="0"/>
        <v>333.33333333333331</v>
      </c>
      <c r="H12" s="18"/>
    </row>
    <row r="13" spans="1:8">
      <c r="A13" s="60">
        <v>45870</v>
      </c>
      <c r="B13" s="64" t="s">
        <v>174</v>
      </c>
      <c r="C13" s="64" t="s">
        <v>175</v>
      </c>
      <c r="D13" s="65">
        <v>250</v>
      </c>
      <c r="E13" s="64" t="s">
        <v>176</v>
      </c>
      <c r="F13" s="64" t="s">
        <v>177</v>
      </c>
      <c r="G13" s="65">
        <f t="shared" si="0"/>
        <v>50</v>
      </c>
      <c r="H13" s="18"/>
    </row>
    <row r="14" spans="1:8">
      <c r="A14" s="60">
        <v>45870</v>
      </c>
      <c r="B14" s="64" t="s">
        <v>163</v>
      </c>
      <c r="C14" s="64" t="s">
        <v>253</v>
      </c>
      <c r="D14" s="65">
        <v>2000</v>
      </c>
      <c r="E14" s="64" t="s">
        <v>154</v>
      </c>
      <c r="F14" s="64" t="s">
        <v>254</v>
      </c>
      <c r="G14" s="65">
        <f t="shared" si="0"/>
        <v>285.71428571428572</v>
      </c>
      <c r="H14" s="88" t="s">
        <v>255</v>
      </c>
    </row>
  </sheetData>
  <mergeCells count="2">
    <mergeCell ref="A7:H7"/>
    <mergeCell ref="C1:D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DE7A-FF31-4E45-B0B6-4130C36F44D8}">
  <dimension ref="A1:V66"/>
  <sheetViews>
    <sheetView topLeftCell="Q53" workbookViewId="0">
      <selection activeCell="K63" sqref="K63"/>
    </sheetView>
  </sheetViews>
  <sheetFormatPr baseColWidth="10" defaultRowHeight="15"/>
  <cols>
    <col min="1" max="1" width="19.6640625" customWidth="1"/>
    <col min="2" max="2" width="17.6640625" customWidth="1"/>
    <col min="3" max="3" width="18.6640625" bestFit="1" customWidth="1"/>
    <col min="4" max="4" width="22.1640625" style="8" customWidth="1"/>
    <col min="5" max="5" width="19.1640625" customWidth="1"/>
    <col min="6" max="6" width="21" customWidth="1"/>
    <col min="7" max="7" width="12.1640625" customWidth="1"/>
    <col min="9" max="9" width="14.33203125" customWidth="1"/>
    <col min="10" max="10" width="11.5" bestFit="1" customWidth="1"/>
    <col min="11" max="11" width="13" customWidth="1"/>
    <col min="12" max="13" width="3.1640625" customWidth="1"/>
    <col min="14" max="14" width="14.33203125" customWidth="1"/>
    <col min="15" max="15" width="19.1640625" customWidth="1"/>
    <col min="16" max="16" width="15.83203125" bestFit="1" customWidth="1"/>
    <col min="17" max="17" width="17.6640625" bestFit="1" customWidth="1"/>
    <col min="18" max="18" width="10.5" bestFit="1" customWidth="1"/>
  </cols>
  <sheetData>
    <row r="1" spans="1:21" ht="54" customHeight="1">
      <c r="A1" s="10"/>
      <c r="B1" s="10"/>
    </row>
    <row r="2" spans="1:21" ht="42" customHeight="1">
      <c r="A2" s="10"/>
      <c r="B2" s="10"/>
      <c r="E2" s="9"/>
    </row>
    <row r="3" spans="1:21">
      <c r="A3" s="6"/>
      <c r="B3" s="7"/>
    </row>
    <row r="4" spans="1:21" ht="42">
      <c r="A4" s="23" t="s">
        <v>75</v>
      </c>
      <c r="B4" s="24" t="s">
        <v>24</v>
      </c>
      <c r="D4" s="91" t="s">
        <v>86</v>
      </c>
      <c r="E4" s="91"/>
    </row>
    <row r="5" spans="1:21" ht="16">
      <c r="D5" s="26" t="s">
        <v>87</v>
      </c>
      <c r="E5" s="27">
        <f>SUMIF(C$15:C$196, "Limpieza profunda", J$15:J$1048576)</f>
        <v>0</v>
      </c>
    </row>
    <row r="6" spans="1:21" ht="18">
      <c r="A6" s="92" t="s">
        <v>76</v>
      </c>
      <c r="B6" s="92"/>
      <c r="D6" s="26" t="s">
        <v>88</v>
      </c>
      <c r="E6" s="27">
        <f>SUMIF(C$15:C$196, "Anti-acné", J$15:J$1048576)</f>
        <v>0</v>
      </c>
    </row>
    <row r="7" spans="1:21" ht="18">
      <c r="A7" s="25" t="s">
        <v>82</v>
      </c>
      <c r="B7" s="33">
        <f>SUM(J16:J51)</f>
        <v>351700</v>
      </c>
      <c r="D7" s="26" t="s">
        <v>90</v>
      </c>
      <c r="E7" s="27">
        <f>SUMIF(C$15:C$196, "Depilación Láser", J$15:J$1048576)</f>
        <v>0</v>
      </c>
    </row>
    <row r="8" spans="1:21" ht="18">
      <c r="A8" s="25" t="s">
        <v>83</v>
      </c>
      <c r="B8" s="33">
        <f>SUM(T16:T22)</f>
        <v>0</v>
      </c>
      <c r="D8" s="26" t="s">
        <v>91</v>
      </c>
      <c r="E8" s="27">
        <f>SUMIF(C$15:C$196, "Facial despigmentante", J$15:J$1048576)</f>
        <v>0</v>
      </c>
    </row>
    <row r="9" spans="1:21" ht="16">
      <c r="D9" s="26" t="s">
        <v>58</v>
      </c>
      <c r="E9" s="27">
        <f>SUMIF(C$15:C$196, "Dermapen", J$15:J$1048576)</f>
        <v>0</v>
      </c>
    </row>
    <row r="10" spans="1:21" ht="16">
      <c r="B10">
        <f>322280/70000</f>
        <v>4.6040000000000001</v>
      </c>
      <c r="D10" s="26" t="s">
        <v>92</v>
      </c>
      <c r="E10" s="27">
        <f>SUMIF(C$15:C$196, "Lifting facial", J$15:J$1048576)</f>
        <v>0</v>
      </c>
    </row>
    <row r="11" spans="1:21" ht="16">
      <c r="D11" s="26" t="s">
        <v>89</v>
      </c>
      <c r="E11" s="27">
        <f>SUMIF(C$15:C$196, "PRODUCTO", J$15:J$1048576)</f>
        <v>0</v>
      </c>
    </row>
    <row r="12" spans="1:21" ht="16">
      <c r="D12" s="26" t="s">
        <v>98</v>
      </c>
      <c r="E12" s="27">
        <f>SUMIF(C$15:C$196, "Otro", J$15:J$1048576)</f>
        <v>0</v>
      </c>
    </row>
    <row r="13" spans="1:21">
      <c r="E13" s="2"/>
    </row>
    <row r="14" spans="1:21" ht="32" customHeight="1">
      <c r="A14" s="93" t="s">
        <v>94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N14" s="94" t="s">
        <v>96</v>
      </c>
      <c r="O14" s="94"/>
      <c r="P14" s="94"/>
      <c r="Q14" s="94"/>
      <c r="R14" s="94"/>
      <c r="S14" s="94"/>
      <c r="T14" s="94"/>
      <c r="U14" s="94"/>
    </row>
    <row r="15" spans="1:21" ht="16">
      <c r="A15" s="12" t="s">
        <v>360</v>
      </c>
      <c r="B15" s="12" t="s">
        <v>78</v>
      </c>
      <c r="C15" s="12" t="s">
        <v>97</v>
      </c>
      <c r="D15" s="13" t="s">
        <v>77</v>
      </c>
      <c r="E15" s="12" t="s">
        <v>79</v>
      </c>
      <c r="F15" s="12" t="s">
        <v>80</v>
      </c>
      <c r="G15" s="12" t="s">
        <v>2</v>
      </c>
      <c r="H15" s="12" t="s">
        <v>1</v>
      </c>
      <c r="I15" s="12" t="s">
        <v>3</v>
      </c>
      <c r="J15" s="12" t="s">
        <v>4</v>
      </c>
      <c r="K15" s="12" t="s">
        <v>95</v>
      </c>
      <c r="N15" s="28" t="s">
        <v>81</v>
      </c>
      <c r="O15" s="28" t="s">
        <v>5</v>
      </c>
      <c r="P15" s="28" t="s">
        <v>79</v>
      </c>
      <c r="Q15" s="28" t="s">
        <v>80</v>
      </c>
      <c r="R15" s="28" t="s">
        <v>2</v>
      </c>
      <c r="S15" s="28" t="s">
        <v>1</v>
      </c>
      <c r="T15" s="28" t="s">
        <v>4</v>
      </c>
      <c r="U15" s="28" t="s">
        <v>95</v>
      </c>
    </row>
    <row r="16" spans="1:21">
      <c r="A16" s="14" t="s">
        <v>361</v>
      </c>
      <c r="B16" s="15"/>
      <c r="C16" s="15"/>
      <c r="D16" s="16"/>
      <c r="E16" s="15"/>
      <c r="F16" s="15"/>
      <c r="G16" s="17"/>
      <c r="H16" s="17"/>
      <c r="I16" s="17"/>
      <c r="J16" s="17">
        <v>18780</v>
      </c>
      <c r="K16" s="18"/>
      <c r="N16" s="14">
        <v>45834</v>
      </c>
      <c r="O16" s="15" t="s">
        <v>60</v>
      </c>
      <c r="P16" s="15" t="s">
        <v>8</v>
      </c>
      <c r="Q16" s="15" t="s">
        <v>19</v>
      </c>
      <c r="R16" s="17"/>
      <c r="S16" s="17"/>
      <c r="T16" s="17"/>
      <c r="U16" s="18"/>
    </row>
    <row r="17" spans="1:22">
      <c r="A17" s="19" t="s">
        <v>362</v>
      </c>
      <c r="B17" s="20"/>
      <c r="C17" s="20"/>
      <c r="D17" s="21"/>
      <c r="E17" s="20"/>
      <c r="F17" s="20"/>
      <c r="G17" s="22"/>
      <c r="H17" s="22"/>
      <c r="I17" s="22"/>
      <c r="J17" s="22">
        <v>23000</v>
      </c>
      <c r="K17" s="18"/>
      <c r="N17" s="19">
        <v>45839</v>
      </c>
      <c r="O17" s="20" t="s">
        <v>63</v>
      </c>
      <c r="P17" s="20" t="s">
        <v>84</v>
      </c>
      <c r="Q17" s="20" t="s">
        <v>19</v>
      </c>
      <c r="R17" s="22"/>
      <c r="S17" s="22"/>
      <c r="T17" s="22"/>
      <c r="U17" s="18"/>
    </row>
    <row r="18" spans="1:22">
      <c r="A18" s="14" t="s">
        <v>363</v>
      </c>
      <c r="B18" s="15"/>
      <c r="C18" s="15"/>
      <c r="D18" s="16"/>
      <c r="E18" s="15"/>
      <c r="F18" s="15"/>
      <c r="G18" s="17"/>
      <c r="H18" s="17"/>
      <c r="I18" s="17"/>
      <c r="J18" s="17">
        <v>27600</v>
      </c>
      <c r="K18" s="18"/>
      <c r="N18" s="14">
        <v>45840</v>
      </c>
      <c r="O18" s="15" t="s">
        <v>66</v>
      </c>
      <c r="P18" s="15" t="s">
        <v>84</v>
      </c>
      <c r="Q18" s="15" t="s">
        <v>19</v>
      </c>
      <c r="R18" s="17"/>
      <c r="S18" s="17"/>
      <c r="T18" s="17"/>
      <c r="U18" s="18"/>
    </row>
    <row r="19" spans="1:22">
      <c r="A19" s="19" t="s">
        <v>364</v>
      </c>
      <c r="B19" s="20"/>
      <c r="C19" s="20"/>
      <c r="D19" s="21"/>
      <c r="E19" s="20"/>
      <c r="F19" s="20"/>
      <c r="G19" s="22"/>
      <c r="H19" s="22"/>
      <c r="I19" s="22"/>
      <c r="J19" s="22">
        <v>46400</v>
      </c>
      <c r="K19" s="18"/>
      <c r="N19" s="14">
        <v>45850</v>
      </c>
      <c r="O19" s="15" t="s">
        <v>70</v>
      </c>
      <c r="P19" s="15" t="s">
        <v>8</v>
      </c>
      <c r="Q19" s="15" t="s">
        <v>14</v>
      </c>
      <c r="R19" s="17"/>
      <c r="S19" s="17"/>
      <c r="T19" s="17"/>
      <c r="U19" s="18"/>
    </row>
    <row r="20" spans="1:22">
      <c r="A20" s="14" t="s">
        <v>365</v>
      </c>
      <c r="B20" s="15"/>
      <c r="C20" s="15"/>
      <c r="D20" s="16"/>
      <c r="E20" s="15"/>
      <c r="F20" s="15"/>
      <c r="G20" s="17"/>
      <c r="H20" s="17"/>
      <c r="I20" s="17"/>
      <c r="J20" s="17">
        <v>25000</v>
      </c>
      <c r="K20" s="18"/>
      <c r="N20" s="19">
        <v>45851</v>
      </c>
      <c r="O20" s="20" t="s">
        <v>60</v>
      </c>
      <c r="P20" s="20" t="s">
        <v>8</v>
      </c>
      <c r="Q20" s="20" t="s">
        <v>14</v>
      </c>
      <c r="R20" s="22"/>
      <c r="S20" s="22"/>
      <c r="T20" s="22"/>
      <c r="U20" s="18"/>
    </row>
    <row r="21" spans="1:22">
      <c r="A21" s="19" t="s">
        <v>366</v>
      </c>
      <c r="B21" s="20"/>
      <c r="C21" s="20"/>
      <c r="D21" s="21"/>
      <c r="E21" s="20"/>
      <c r="F21" s="20"/>
      <c r="G21" s="22"/>
      <c r="H21" s="22"/>
      <c r="I21" s="22"/>
      <c r="J21" s="22">
        <v>28000</v>
      </c>
      <c r="K21" s="18"/>
      <c r="N21" s="14">
        <v>45852</v>
      </c>
      <c r="O21" s="15" t="s">
        <v>71</v>
      </c>
      <c r="P21" s="15" t="s">
        <v>84</v>
      </c>
      <c r="Q21" s="15" t="s">
        <v>14</v>
      </c>
      <c r="R21" s="17"/>
      <c r="S21" s="17"/>
      <c r="T21" s="17"/>
      <c r="U21" s="18"/>
    </row>
    <row r="22" spans="1:22">
      <c r="A22" s="14" t="s">
        <v>367</v>
      </c>
      <c r="B22" s="15"/>
      <c r="C22" s="15"/>
      <c r="D22" s="16"/>
      <c r="E22" s="15"/>
      <c r="F22" s="15"/>
      <c r="G22" s="17"/>
      <c r="H22" s="17"/>
      <c r="I22" s="17"/>
      <c r="J22" s="17">
        <v>24000</v>
      </c>
      <c r="K22" s="18"/>
      <c r="N22" s="19">
        <v>45853</v>
      </c>
      <c r="O22" s="20" t="s">
        <v>72</v>
      </c>
      <c r="P22" s="20" t="s">
        <v>8</v>
      </c>
      <c r="Q22" s="20" t="s">
        <v>14</v>
      </c>
      <c r="R22" s="22"/>
      <c r="S22" s="22"/>
      <c r="T22" s="22"/>
      <c r="U22" s="18"/>
    </row>
    <row r="23" spans="1:22">
      <c r="A23" s="19" t="s">
        <v>368</v>
      </c>
      <c r="B23" s="20"/>
      <c r="C23" s="20"/>
      <c r="D23" s="21"/>
      <c r="E23" s="20"/>
      <c r="F23" s="20"/>
      <c r="G23" s="22"/>
      <c r="H23" s="22"/>
      <c r="I23" s="22"/>
      <c r="J23" s="22">
        <v>40000</v>
      </c>
      <c r="K23" s="18"/>
    </row>
    <row r="24" spans="1:22">
      <c r="A24" s="14" t="s">
        <v>369</v>
      </c>
      <c r="B24" s="15"/>
      <c r="C24" s="15"/>
      <c r="D24" s="16"/>
      <c r="E24" s="15"/>
      <c r="F24" s="15"/>
      <c r="G24" s="17"/>
      <c r="H24" s="17"/>
      <c r="I24" s="17"/>
      <c r="J24" s="17">
        <v>9000</v>
      </c>
      <c r="K24" s="18"/>
    </row>
    <row r="25" spans="1:22">
      <c r="A25" s="19" t="s">
        <v>370</v>
      </c>
      <c r="B25" s="20"/>
      <c r="C25" s="20"/>
      <c r="D25" s="21"/>
      <c r="E25" s="20"/>
      <c r="F25" s="20"/>
      <c r="G25" s="22"/>
      <c r="H25" s="22"/>
      <c r="I25" s="22"/>
      <c r="J25" s="22">
        <v>70000</v>
      </c>
      <c r="K25" s="18"/>
      <c r="N25" s="29"/>
      <c r="O25" s="29"/>
      <c r="P25" s="29"/>
      <c r="Q25" s="29"/>
      <c r="R25" s="29"/>
      <c r="S25" s="29"/>
      <c r="T25" s="29"/>
      <c r="U25" s="29"/>
      <c r="V25" s="29"/>
    </row>
    <row r="26" spans="1:22">
      <c r="A26" s="14" t="s">
        <v>371</v>
      </c>
      <c r="B26" s="15"/>
      <c r="C26" s="15"/>
      <c r="D26" s="16"/>
      <c r="E26" s="15"/>
      <c r="F26" s="15"/>
      <c r="G26" s="17"/>
      <c r="H26" s="17"/>
      <c r="I26" s="17"/>
      <c r="J26" s="17">
        <v>10500</v>
      </c>
      <c r="K26" s="18"/>
      <c r="N26" s="29"/>
      <c r="O26" s="29"/>
      <c r="P26" s="29"/>
      <c r="Q26" s="29"/>
      <c r="R26" s="29"/>
      <c r="S26" s="29"/>
      <c r="T26" s="29"/>
      <c r="U26" s="29"/>
      <c r="V26" s="29"/>
    </row>
    <row r="27" spans="1:22">
      <c r="A27" s="19" t="s">
        <v>383</v>
      </c>
      <c r="B27" s="20"/>
      <c r="C27" s="20"/>
      <c r="D27" s="21"/>
      <c r="E27" s="15"/>
      <c r="F27" s="20"/>
      <c r="G27" s="22"/>
      <c r="H27" s="22"/>
      <c r="I27" s="22"/>
      <c r="J27" s="22">
        <v>1000</v>
      </c>
      <c r="K27" s="18"/>
      <c r="N27" s="30"/>
      <c r="O27" s="31"/>
      <c r="P27" s="31"/>
      <c r="Q27" s="31"/>
      <c r="R27" s="32"/>
      <c r="S27" s="32"/>
      <c r="T27" s="32"/>
      <c r="U27" s="31"/>
      <c r="V27" s="29"/>
    </row>
    <row r="28" spans="1:22">
      <c r="A28" s="14"/>
      <c r="B28" s="15"/>
      <c r="C28" s="15"/>
      <c r="D28" s="16"/>
      <c r="E28" s="20"/>
      <c r="F28" s="20"/>
      <c r="G28" s="17"/>
      <c r="H28" s="17"/>
      <c r="I28" s="17"/>
      <c r="J28" s="17"/>
      <c r="K28" s="18"/>
      <c r="N28" s="30"/>
      <c r="O28" s="31"/>
      <c r="P28" s="31"/>
      <c r="Q28" s="31"/>
      <c r="R28" s="32"/>
      <c r="S28" s="32"/>
      <c r="T28" s="32"/>
      <c r="U28" s="31"/>
      <c r="V28" s="29"/>
    </row>
    <row r="29" spans="1:22">
      <c r="A29" s="19" t="s">
        <v>378</v>
      </c>
      <c r="B29" s="20"/>
      <c r="C29" s="20"/>
      <c r="D29" s="21"/>
      <c r="E29" s="15"/>
      <c r="F29" s="20"/>
      <c r="G29" s="22"/>
      <c r="H29" s="22"/>
      <c r="I29" s="22"/>
      <c r="J29" s="22">
        <v>2700</v>
      </c>
      <c r="K29" s="18" t="s">
        <v>195</v>
      </c>
      <c r="N29" s="30"/>
      <c r="O29" s="31"/>
      <c r="P29" s="31"/>
      <c r="Q29" s="31"/>
      <c r="R29" s="32"/>
      <c r="S29" s="32"/>
      <c r="T29" s="32"/>
      <c r="U29" s="31"/>
      <c r="V29" s="29"/>
    </row>
    <row r="30" spans="1:22">
      <c r="A30" s="14" t="s">
        <v>372</v>
      </c>
      <c r="B30" s="15"/>
      <c r="C30" s="15"/>
      <c r="D30" s="16"/>
      <c r="E30" s="20"/>
      <c r="F30" s="20"/>
      <c r="G30" s="17"/>
      <c r="H30" s="17"/>
      <c r="I30" s="17"/>
      <c r="J30" s="17">
        <v>900</v>
      </c>
      <c r="K30" s="18">
        <v>800</v>
      </c>
      <c r="N30" s="30"/>
      <c r="O30" s="31"/>
      <c r="P30" s="31"/>
      <c r="Q30" s="31"/>
      <c r="R30" s="32"/>
      <c r="S30" s="32"/>
      <c r="T30" s="32"/>
      <c r="U30" s="31"/>
      <c r="V30" s="29"/>
    </row>
    <row r="31" spans="1:22">
      <c r="A31" s="19" t="s">
        <v>373</v>
      </c>
      <c r="B31" s="20"/>
      <c r="C31" s="20"/>
      <c r="D31" s="21"/>
      <c r="E31" s="15"/>
      <c r="F31" s="20"/>
      <c r="G31" s="22"/>
      <c r="H31" s="22"/>
      <c r="I31" s="22"/>
      <c r="J31" s="22">
        <v>1450</v>
      </c>
      <c r="K31" s="18" t="s">
        <v>195</v>
      </c>
      <c r="N31" s="30"/>
      <c r="O31" s="31"/>
      <c r="P31" s="31"/>
      <c r="Q31" s="31"/>
      <c r="R31" s="32"/>
      <c r="S31" s="32"/>
      <c r="T31" s="32"/>
      <c r="U31" s="31"/>
      <c r="V31" s="29"/>
    </row>
    <row r="32" spans="1:22">
      <c r="A32" s="14" t="s">
        <v>372</v>
      </c>
      <c r="B32" s="15"/>
      <c r="C32" s="15"/>
      <c r="D32" s="16"/>
      <c r="E32" s="20"/>
      <c r="F32" s="15"/>
      <c r="G32" s="17"/>
      <c r="H32" s="17"/>
      <c r="I32" s="17"/>
      <c r="J32" s="17">
        <v>520</v>
      </c>
      <c r="K32" s="18" t="s">
        <v>195</v>
      </c>
      <c r="N32" s="30"/>
      <c r="O32" s="31"/>
      <c r="P32" s="31"/>
      <c r="Q32" s="31"/>
      <c r="R32" s="32"/>
      <c r="S32" s="32"/>
      <c r="T32" s="32"/>
      <c r="U32" s="31"/>
      <c r="V32" s="29"/>
    </row>
    <row r="33" spans="1:22">
      <c r="A33" s="19" t="s">
        <v>374</v>
      </c>
      <c r="B33" s="20"/>
      <c r="C33" s="20"/>
      <c r="D33" s="21"/>
      <c r="E33" s="15"/>
      <c r="F33" s="20"/>
      <c r="G33" s="22"/>
      <c r="H33" s="22"/>
      <c r="I33" s="22"/>
      <c r="J33" s="22">
        <v>250</v>
      </c>
      <c r="K33" s="18" t="s">
        <v>195</v>
      </c>
      <c r="N33" s="30"/>
      <c r="O33" s="31"/>
      <c r="P33" s="31"/>
      <c r="Q33" s="31"/>
      <c r="R33" s="32"/>
      <c r="S33" s="32"/>
      <c r="T33" s="32"/>
      <c r="U33" s="31"/>
      <c r="V33" s="29"/>
    </row>
    <row r="34" spans="1:22">
      <c r="A34" s="14" t="s">
        <v>375</v>
      </c>
      <c r="B34" s="15"/>
      <c r="C34" s="15"/>
      <c r="D34" s="16"/>
      <c r="E34" s="15"/>
      <c r="F34" s="15"/>
      <c r="G34" s="17"/>
      <c r="H34" s="17"/>
      <c r="I34" s="17"/>
      <c r="J34" s="17">
        <v>2600</v>
      </c>
      <c r="K34" s="18">
        <v>500</v>
      </c>
      <c r="N34" s="30"/>
      <c r="O34" s="31"/>
      <c r="P34" s="31"/>
      <c r="Q34" s="31"/>
      <c r="R34" s="32"/>
      <c r="S34" s="32"/>
      <c r="T34" s="32"/>
      <c r="U34" s="31"/>
      <c r="V34" s="29"/>
    </row>
    <row r="35" spans="1:22">
      <c r="A35" s="19" t="s">
        <v>376</v>
      </c>
      <c r="B35" s="20"/>
      <c r="C35" s="20"/>
      <c r="D35" s="21"/>
      <c r="E35" s="20"/>
      <c r="F35" s="20"/>
      <c r="G35" s="22"/>
      <c r="H35" s="22"/>
      <c r="I35" s="22"/>
      <c r="J35" s="22">
        <v>2500</v>
      </c>
      <c r="K35" s="18">
        <v>500</v>
      </c>
      <c r="N35" s="30"/>
      <c r="O35" s="31"/>
      <c r="P35" s="31"/>
      <c r="Q35" s="31"/>
      <c r="R35" s="32"/>
      <c r="S35" s="32"/>
      <c r="T35" s="32"/>
      <c r="U35" s="31"/>
      <c r="V35" s="29"/>
    </row>
    <row r="36" spans="1:22">
      <c r="A36" s="14" t="s">
        <v>380</v>
      </c>
      <c r="B36" s="15"/>
      <c r="C36" s="15"/>
      <c r="D36" s="16"/>
      <c r="E36" s="15"/>
      <c r="F36" s="15"/>
      <c r="G36" s="17"/>
      <c r="H36" s="17"/>
      <c r="I36" s="17"/>
      <c r="J36" s="17">
        <v>800</v>
      </c>
      <c r="K36" s="18" t="s">
        <v>195</v>
      </c>
      <c r="N36" s="30"/>
      <c r="O36" s="31"/>
      <c r="P36" s="31"/>
      <c r="Q36" s="31"/>
      <c r="R36" s="32"/>
      <c r="S36" s="32"/>
      <c r="T36" s="32"/>
      <c r="U36" s="31"/>
      <c r="V36" s="29"/>
    </row>
    <row r="37" spans="1:22">
      <c r="A37" s="19" t="s">
        <v>377</v>
      </c>
      <c r="B37" s="20"/>
      <c r="C37" s="20"/>
      <c r="D37" s="21"/>
      <c r="E37" s="20"/>
      <c r="F37" s="20"/>
      <c r="G37" s="22"/>
      <c r="H37" s="22"/>
      <c r="I37" s="22"/>
      <c r="J37" s="22">
        <v>1800</v>
      </c>
      <c r="K37" s="18">
        <v>800</v>
      </c>
      <c r="N37" s="30"/>
      <c r="O37" s="31"/>
      <c r="P37" s="31"/>
      <c r="Q37" s="31"/>
      <c r="R37" s="32"/>
      <c r="S37" s="32"/>
      <c r="T37" s="32"/>
      <c r="U37" s="31"/>
      <c r="V37" s="29"/>
    </row>
    <row r="38" spans="1:22">
      <c r="A38" s="14" t="s">
        <v>382</v>
      </c>
      <c r="B38" s="15"/>
      <c r="C38" s="15"/>
      <c r="D38" s="16"/>
      <c r="E38" s="15"/>
      <c r="F38" s="15"/>
      <c r="G38" s="17"/>
      <c r="H38" s="17"/>
      <c r="I38" s="17"/>
      <c r="J38" s="17">
        <v>900</v>
      </c>
      <c r="K38" s="18"/>
      <c r="N38" s="30"/>
      <c r="O38" s="31"/>
      <c r="P38" s="31"/>
      <c r="Q38" s="31"/>
      <c r="R38" s="32"/>
      <c r="S38" s="32"/>
      <c r="T38" s="32"/>
      <c r="U38" s="31"/>
      <c r="V38" s="29"/>
    </row>
    <row r="39" spans="1:22">
      <c r="A39" s="19" t="s">
        <v>399</v>
      </c>
      <c r="B39" s="20"/>
      <c r="C39" s="20"/>
      <c r="D39" s="21"/>
      <c r="E39" s="20"/>
      <c r="F39" s="20"/>
      <c r="G39" s="22"/>
      <c r="H39" s="22"/>
      <c r="I39" s="22"/>
      <c r="J39" s="22"/>
      <c r="K39" s="18">
        <v>1111</v>
      </c>
      <c r="N39" s="30"/>
      <c r="O39" s="31"/>
      <c r="P39" s="31"/>
      <c r="Q39" s="31"/>
      <c r="R39" s="32"/>
      <c r="S39" s="32"/>
      <c r="T39" s="32"/>
      <c r="U39" s="31"/>
      <c r="V39" s="29"/>
    </row>
    <row r="40" spans="1:22">
      <c r="A40" s="19"/>
      <c r="B40" s="20"/>
      <c r="C40" s="20"/>
      <c r="D40" s="21"/>
      <c r="E40" s="20"/>
      <c r="F40" s="20"/>
      <c r="G40" s="22"/>
      <c r="H40" s="22"/>
      <c r="I40" s="22"/>
      <c r="J40" s="22"/>
      <c r="K40" s="18"/>
      <c r="N40" s="29"/>
      <c r="O40" s="29"/>
      <c r="P40" s="29"/>
      <c r="Q40" s="29"/>
      <c r="R40" s="29"/>
      <c r="S40" s="29"/>
      <c r="T40" s="29"/>
      <c r="U40" s="29"/>
      <c r="V40" s="29"/>
    </row>
    <row r="41" spans="1:22">
      <c r="A41" s="14" t="s">
        <v>379</v>
      </c>
      <c r="B41" s="15"/>
      <c r="C41" s="15"/>
      <c r="D41" s="16"/>
      <c r="E41" s="15"/>
      <c r="F41" s="15"/>
      <c r="G41" s="17"/>
      <c r="H41" s="17"/>
      <c r="I41" s="17"/>
      <c r="J41" s="17">
        <v>10000</v>
      </c>
      <c r="K41" s="18"/>
      <c r="N41" s="29"/>
      <c r="O41" s="29"/>
      <c r="P41" s="29"/>
      <c r="Q41" s="29"/>
      <c r="R41" s="29"/>
      <c r="S41" s="29"/>
      <c r="T41" s="29"/>
      <c r="U41" s="29"/>
      <c r="V41" s="29"/>
    </row>
    <row r="42" spans="1:22">
      <c r="A42" s="19" t="s">
        <v>381</v>
      </c>
      <c r="B42" s="20"/>
      <c r="C42" s="20"/>
      <c r="D42" s="21"/>
      <c r="E42" s="20"/>
      <c r="F42" s="20"/>
      <c r="G42" s="22"/>
      <c r="H42" s="22"/>
      <c r="I42" s="22"/>
      <c r="J42" s="22">
        <v>4000</v>
      </c>
      <c r="K42" s="18"/>
      <c r="N42" s="29"/>
      <c r="O42" s="29"/>
      <c r="P42" s="29"/>
      <c r="Q42" s="29"/>
      <c r="R42" s="29"/>
      <c r="S42" s="29"/>
      <c r="T42" s="29"/>
      <c r="U42" s="29"/>
      <c r="V42" s="29"/>
    </row>
    <row r="43" spans="1:22">
      <c r="A43" s="106" t="s">
        <v>411</v>
      </c>
      <c r="B43" s="107"/>
      <c r="C43" s="107"/>
      <c r="D43" s="107"/>
      <c r="E43" s="107"/>
      <c r="F43" s="107"/>
      <c r="G43" s="107"/>
      <c r="H43" s="107"/>
      <c r="I43" s="107"/>
      <c r="J43" s="107"/>
      <c r="K43" s="108"/>
      <c r="N43" s="29"/>
      <c r="O43" s="29"/>
      <c r="P43" s="29"/>
      <c r="Q43" s="29"/>
      <c r="R43" s="29"/>
      <c r="S43" s="29"/>
      <c r="T43" s="29"/>
      <c r="U43" s="29"/>
      <c r="V43" s="29"/>
    </row>
    <row r="44" spans="1:22">
      <c r="A44" s="14" t="s">
        <v>361</v>
      </c>
      <c r="B44" s="15"/>
      <c r="C44" s="15"/>
      <c r="D44" s="16"/>
      <c r="E44" s="15"/>
      <c r="F44" s="15"/>
      <c r="G44" s="17"/>
      <c r="H44" s="17"/>
      <c r="I44" s="17"/>
      <c r="J44" s="17"/>
      <c r="K44" s="18"/>
    </row>
    <row r="45" spans="1:22">
      <c r="A45" s="19" t="s">
        <v>362</v>
      </c>
      <c r="B45" s="20"/>
      <c r="C45" s="20"/>
      <c r="D45" s="21"/>
      <c r="E45" s="20"/>
      <c r="F45" s="20"/>
      <c r="G45" s="22"/>
      <c r="H45" s="22"/>
      <c r="I45" s="22"/>
      <c r="J45" s="22"/>
      <c r="K45" s="18"/>
    </row>
    <row r="46" spans="1:22">
      <c r="A46" s="14" t="s">
        <v>363</v>
      </c>
      <c r="B46" s="15"/>
      <c r="C46" s="15"/>
      <c r="D46" s="16"/>
      <c r="E46" s="15"/>
      <c r="F46" s="15"/>
      <c r="G46" s="17"/>
      <c r="H46" s="17"/>
      <c r="I46" s="17"/>
      <c r="J46" s="17"/>
      <c r="K46" s="18"/>
    </row>
    <row r="47" spans="1:22">
      <c r="A47" s="19" t="s">
        <v>364</v>
      </c>
      <c r="B47" s="20"/>
      <c r="C47" s="20"/>
      <c r="D47" s="21"/>
      <c r="E47" s="20"/>
      <c r="F47" s="20"/>
      <c r="G47" s="22"/>
      <c r="H47" s="22"/>
      <c r="I47" s="22"/>
      <c r="J47" s="22"/>
      <c r="K47" s="18"/>
    </row>
    <row r="48" spans="1:22">
      <c r="A48" s="14" t="s">
        <v>365</v>
      </c>
      <c r="B48" s="15"/>
      <c r="C48" s="15"/>
      <c r="D48" s="16"/>
      <c r="E48" s="15"/>
      <c r="F48" s="15"/>
      <c r="G48" s="17"/>
      <c r="H48" s="17"/>
      <c r="I48" s="17"/>
      <c r="J48" s="17"/>
      <c r="K48" s="18"/>
    </row>
    <row r="49" spans="1:21">
      <c r="A49" s="19" t="s">
        <v>366</v>
      </c>
      <c r="B49" s="20"/>
      <c r="C49" s="20"/>
      <c r="D49" s="21"/>
      <c r="E49" s="20"/>
      <c r="F49" s="20"/>
      <c r="G49" s="22"/>
      <c r="H49" s="22"/>
      <c r="I49" s="22"/>
      <c r="J49" s="22"/>
      <c r="K49" s="18"/>
    </row>
    <row r="50" spans="1:21">
      <c r="A50" s="14" t="s">
        <v>367</v>
      </c>
      <c r="B50" s="15"/>
      <c r="C50" s="15"/>
      <c r="D50" s="16"/>
      <c r="E50" s="15"/>
      <c r="F50" s="15"/>
      <c r="G50" s="17"/>
      <c r="H50" s="17"/>
      <c r="I50" s="17"/>
      <c r="J50" s="17"/>
      <c r="K50" s="18"/>
      <c r="N50" s="30"/>
      <c r="O50" s="31"/>
      <c r="P50" s="31"/>
      <c r="Q50" s="31"/>
      <c r="R50" s="32"/>
      <c r="S50" s="32"/>
      <c r="T50" s="32"/>
      <c r="U50" s="31"/>
    </row>
    <row r="51" spans="1:21">
      <c r="A51" s="19" t="s">
        <v>368</v>
      </c>
      <c r="B51" s="20"/>
      <c r="C51" s="20"/>
      <c r="D51" s="21"/>
      <c r="E51" s="20"/>
      <c r="F51" s="20"/>
      <c r="G51" s="22"/>
      <c r="H51" s="22"/>
      <c r="I51" s="22"/>
      <c r="J51" s="22"/>
      <c r="K51" s="18"/>
      <c r="N51" s="30"/>
      <c r="O51" s="31"/>
      <c r="P51" s="31"/>
      <c r="Q51" s="31"/>
      <c r="R51" s="32"/>
      <c r="S51" s="32"/>
      <c r="T51" s="32"/>
      <c r="U51" s="31"/>
    </row>
    <row r="52" spans="1:21">
      <c r="A52" s="14" t="s">
        <v>369</v>
      </c>
      <c r="B52" s="15"/>
      <c r="C52" s="15"/>
      <c r="D52" s="16"/>
      <c r="E52" s="15"/>
      <c r="F52" s="15"/>
      <c r="G52" s="17"/>
      <c r="H52" s="17"/>
      <c r="I52" s="17"/>
      <c r="J52" s="17"/>
      <c r="K52" s="18"/>
      <c r="N52" s="30"/>
      <c r="O52" s="31"/>
      <c r="P52" s="31"/>
      <c r="Q52" s="31"/>
      <c r="R52" s="32"/>
      <c r="S52" s="32"/>
      <c r="T52" s="32"/>
      <c r="U52" s="31"/>
    </row>
    <row r="53" spans="1:21">
      <c r="A53" s="19" t="s">
        <v>370</v>
      </c>
      <c r="B53" s="20"/>
      <c r="C53" s="20"/>
      <c r="D53" s="21"/>
      <c r="E53" s="20"/>
      <c r="F53" s="20"/>
      <c r="G53" s="22"/>
      <c r="H53" s="22"/>
      <c r="I53" s="22"/>
      <c r="J53" s="22"/>
      <c r="K53" s="18"/>
      <c r="N53" s="30"/>
      <c r="O53" s="31"/>
      <c r="P53" s="31"/>
      <c r="Q53" s="31"/>
      <c r="R53" s="32"/>
      <c r="S53" s="32"/>
      <c r="T53" s="32"/>
      <c r="U53" s="31"/>
    </row>
    <row r="54" spans="1:21">
      <c r="A54" s="14" t="s">
        <v>371</v>
      </c>
      <c r="B54" s="15"/>
      <c r="C54" s="15"/>
      <c r="D54" s="16"/>
      <c r="E54" s="15"/>
      <c r="F54" s="15"/>
      <c r="G54" s="17"/>
      <c r="H54" s="17"/>
      <c r="I54" s="17"/>
      <c r="J54" s="17"/>
      <c r="K54" s="18"/>
      <c r="N54" s="30"/>
      <c r="O54" s="31"/>
      <c r="P54" s="31"/>
      <c r="Q54" s="31"/>
      <c r="R54" s="32"/>
      <c r="S54" s="32"/>
      <c r="T54" s="32"/>
      <c r="U54" s="31"/>
    </row>
    <row r="55" spans="1:21">
      <c r="A55" s="19" t="s">
        <v>383</v>
      </c>
      <c r="B55" s="20"/>
      <c r="C55" s="20"/>
      <c r="D55" s="21"/>
      <c r="E55" s="20"/>
      <c r="F55" s="20"/>
      <c r="G55" s="22"/>
      <c r="H55" s="22"/>
      <c r="I55" s="22"/>
      <c r="J55" s="22"/>
      <c r="K55" s="18"/>
      <c r="N55" s="29"/>
      <c r="O55" s="29"/>
      <c r="P55" s="29"/>
      <c r="Q55" s="29"/>
      <c r="R55" s="29"/>
      <c r="S55" s="29"/>
      <c r="T55" s="29"/>
      <c r="U55" s="29"/>
    </row>
    <row r="56" spans="1:21">
      <c r="A56" s="19" t="s">
        <v>378</v>
      </c>
      <c r="B56" s="20"/>
      <c r="C56" s="20"/>
      <c r="D56" s="21"/>
      <c r="E56" s="15"/>
      <c r="F56" s="20"/>
      <c r="G56" s="22"/>
      <c r="H56" s="22"/>
      <c r="I56" s="22"/>
      <c r="J56" s="22">
        <v>2691</v>
      </c>
      <c r="K56" s="18">
        <v>500</v>
      </c>
    </row>
    <row r="57" spans="1:21">
      <c r="A57" s="14" t="s">
        <v>372</v>
      </c>
      <c r="B57" s="15"/>
      <c r="C57" s="15"/>
      <c r="D57" s="16"/>
      <c r="E57" s="20"/>
      <c r="F57" s="20"/>
      <c r="G57" s="17"/>
      <c r="H57" s="17"/>
      <c r="I57" s="17"/>
      <c r="J57" s="17">
        <v>1700</v>
      </c>
      <c r="K57" s="18"/>
    </row>
    <row r="58" spans="1:21">
      <c r="A58" s="19" t="s">
        <v>373</v>
      </c>
      <c r="B58" s="20"/>
      <c r="C58" s="20"/>
      <c r="D58" s="21"/>
      <c r="E58" s="15"/>
      <c r="F58" s="20"/>
      <c r="G58" s="22"/>
      <c r="H58" s="22"/>
      <c r="I58" s="22"/>
      <c r="J58" s="22">
        <v>0</v>
      </c>
      <c r="K58" s="18" t="s">
        <v>195</v>
      </c>
    </row>
    <row r="59" spans="1:21">
      <c r="A59" s="14" t="s">
        <v>372</v>
      </c>
      <c r="B59" s="15"/>
      <c r="C59" s="15"/>
      <c r="D59" s="16"/>
      <c r="E59" s="20"/>
      <c r="F59" s="15"/>
      <c r="G59" s="17"/>
      <c r="H59" s="17"/>
      <c r="I59" s="17"/>
      <c r="J59" s="17">
        <v>0</v>
      </c>
      <c r="K59" s="18" t="s">
        <v>195</v>
      </c>
    </row>
    <row r="60" spans="1:21">
      <c r="A60" s="19" t="s">
        <v>374</v>
      </c>
      <c r="B60" s="20"/>
      <c r="C60" s="20"/>
      <c r="D60" s="21"/>
      <c r="E60" s="15"/>
      <c r="F60" s="20"/>
      <c r="G60" s="22"/>
      <c r="H60" s="22"/>
      <c r="I60" s="22"/>
      <c r="J60" s="22">
        <v>0</v>
      </c>
      <c r="K60" s="18" t="s">
        <v>195</v>
      </c>
    </row>
    <row r="61" spans="1:21">
      <c r="A61" s="14" t="s">
        <v>375</v>
      </c>
      <c r="B61" s="15"/>
      <c r="C61" s="15"/>
      <c r="D61" s="16"/>
      <c r="E61" s="15"/>
      <c r="F61" s="15"/>
      <c r="G61" s="17"/>
      <c r="H61" s="17"/>
      <c r="I61" s="17"/>
      <c r="J61" s="17">
        <v>2600</v>
      </c>
      <c r="K61" s="18">
        <v>0</v>
      </c>
    </row>
    <row r="62" spans="1:21">
      <c r="A62" s="19" t="s">
        <v>376</v>
      </c>
      <c r="B62" s="20"/>
      <c r="C62" s="20"/>
      <c r="D62" s="21"/>
      <c r="E62" s="20"/>
      <c r="F62" s="20"/>
      <c r="G62" s="22"/>
      <c r="H62" s="22"/>
      <c r="I62" s="22"/>
      <c r="J62" s="22">
        <v>2500</v>
      </c>
      <c r="K62" s="18">
        <v>0</v>
      </c>
    </row>
    <row r="63" spans="1:21">
      <c r="A63" s="14" t="s">
        <v>380</v>
      </c>
      <c r="B63" s="15"/>
      <c r="C63" s="15"/>
      <c r="D63" s="16"/>
      <c r="E63" s="15"/>
      <c r="F63" s="15"/>
      <c r="G63" s="17"/>
      <c r="H63" s="17"/>
      <c r="I63" s="17"/>
      <c r="J63" s="17">
        <v>800</v>
      </c>
      <c r="K63" s="18" t="s">
        <v>195</v>
      </c>
    </row>
    <row r="64" spans="1:21">
      <c r="A64" s="19" t="s">
        <v>377</v>
      </c>
      <c r="B64" s="20"/>
      <c r="C64" s="20"/>
      <c r="D64" s="21"/>
      <c r="E64" s="20"/>
      <c r="F64" s="20"/>
      <c r="G64" s="22"/>
      <c r="H64" s="22"/>
      <c r="I64" s="22"/>
      <c r="J64" s="22">
        <v>1800</v>
      </c>
      <c r="K64" s="18">
        <v>800</v>
      </c>
    </row>
    <row r="65" spans="1:11">
      <c r="A65" s="14" t="s">
        <v>382</v>
      </c>
      <c r="B65" s="15"/>
      <c r="C65" s="15"/>
      <c r="D65" s="16"/>
      <c r="E65" s="15"/>
      <c r="F65" s="15"/>
      <c r="G65" s="17"/>
      <c r="H65" s="17"/>
      <c r="I65" s="17"/>
      <c r="J65" s="17">
        <v>900</v>
      </c>
      <c r="K65" s="18"/>
    </row>
    <row r="66" spans="1:11">
      <c r="A66" s="19" t="s">
        <v>399</v>
      </c>
      <c r="B66" s="20"/>
      <c r="C66" s="20"/>
      <c r="D66" s="21"/>
      <c r="E66" s="20"/>
      <c r="F66" s="20"/>
      <c r="G66" s="22"/>
      <c r="H66" s="22"/>
      <c r="I66" s="22"/>
      <c r="J66" s="22"/>
      <c r="K66" s="18">
        <v>1111</v>
      </c>
    </row>
  </sheetData>
  <mergeCells count="5">
    <mergeCell ref="D4:E4"/>
    <mergeCell ref="A6:B6"/>
    <mergeCell ref="A14:K14"/>
    <mergeCell ref="N14:U14"/>
    <mergeCell ref="A43:K43"/>
  </mergeCells>
  <dataValidations count="4">
    <dataValidation type="list" allowBlank="1" showInputMessage="1" showErrorMessage="1" sqref="C16:C42 C44:C66" xr:uid="{47C42A1C-BCDB-6A45-BDDD-1895DEC62C31}">
      <formula1>"Limpieza Profunda, Anti-acné, PRODUCTO, Depilación Láser, Facial despigmentante, Lifting facial, Dermapen, Otro"</formula1>
    </dataValidation>
    <dataValidation type="list" allowBlank="1" showInputMessage="1" showErrorMessage="1" sqref="Q50:Q54 Q16:Q22 Q27:Q39 F16:F42 F44:F66" xr:uid="{CD95807B-B8E1-FA45-B273-278DC474E05C}">
      <formula1>"BBVA Alo, Caja"</formula1>
    </dataValidation>
    <dataValidation type="list" allowBlank="1" showInputMessage="1" showErrorMessage="1" sqref="P50:P54 P16:P22 P27:P39 E16:E42 E44:E66" xr:uid="{B814331A-AFAC-BD42-BF04-CB565932E1E7}">
      <formula1>"Efectivo,Transferencia,Tarjeta"</formula1>
    </dataValidation>
    <dataValidation type="list" allowBlank="1" showInputMessage="1" showErrorMessage="1" sqref="E15 P15" xr:uid="{7B5825A0-AA1D-7A42-84A0-D65B54EFB7C5}">
      <formula1>"Efectivo, Transferencia, Tarjeta"</formula1>
    </dataValidation>
  </dataValidation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Diciembre 2025</vt:lpstr>
      <vt:lpstr>Noviembre 2025</vt:lpstr>
      <vt:lpstr>Octubre 2025</vt:lpstr>
      <vt:lpstr>Septiembre 2025</vt:lpstr>
      <vt:lpstr>Agosto 2025</vt:lpstr>
      <vt:lpstr>Junio 2025</vt:lpstr>
      <vt:lpstr>Ventas productos </vt:lpstr>
      <vt:lpstr>Gastos Fijos</vt:lpstr>
      <vt:lpstr>Inventario</vt:lpstr>
      <vt:lpstr>Publicidad y marketing</vt:lpstr>
      <vt:lpstr>ALOYSAID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Cristopher Romero</cp:lastModifiedBy>
  <dcterms:created xsi:type="dcterms:W3CDTF">2024-07-09T21:42:09Z</dcterms:created>
  <dcterms:modified xsi:type="dcterms:W3CDTF">2025-12-31T19:18:29Z</dcterms:modified>
</cp:coreProperties>
</file>